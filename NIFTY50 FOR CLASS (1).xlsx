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ishi files\GIM\FINDER\"/>
    </mc:Choice>
  </mc:AlternateContent>
  <xr:revisionPtr revIDLastSave="0" documentId="13_ncr:1_{AE7B0025-2CAD-4440-B88D-211CEB75B482}" xr6:coauthVersionLast="47" xr6:coauthVersionMax="47" xr10:uidLastSave="{00000000-0000-0000-0000-000000000000}"/>
  <bookViews>
    <workbookView xWindow="-80" yWindow="-80" windowWidth="19360" windowHeight="11440" activeTab="1" xr2:uid="{00000000-000D-0000-FFFF-FFFF00000000}"/>
  </bookViews>
  <sheets>
    <sheet name="NIFTY - Simple Naive Forecastin" sheetId="2" r:id="rId1"/>
    <sheet name="NIFTY-Scientific, OPTION PRICIN" sheetId="4" r:id="rId2"/>
    <sheet name="RIL" sheetId="3" r:id="rId3"/>
  </sheets>
  <definedNames>
    <definedName name="ADJC">RIL!#REF!</definedName>
    <definedName name="chartTableData" localSheetId="1">'NIFTY-Scientific, OPTION PRICIN'!#REF!</definedName>
    <definedName name="chartTableData" localSheetId="2">RIL!#REF!</definedName>
    <definedName name="chartTableData">'NIFTY - Simple Naive Forecastin'!#REF!</definedName>
    <definedName name="chartTableHeader" localSheetId="1">'NIFTY-Scientific, OPTION PRICIN'!#REF!</definedName>
    <definedName name="chartTableHeader" localSheetId="2">RIL!#REF!</definedName>
    <definedName name="chartTableHeader">'NIFTY - Simple Naive Forecastin'!#REF!</definedName>
    <definedName name="chartTableName" localSheetId="1">'NIFTY-Scientific, OPTION PRICIN'!#REF!</definedName>
    <definedName name="chartTableName" localSheetId="2">RIL!#REF!</definedName>
    <definedName name="chartTableName">'NIFTY - Simple Naive Forecastin'!#REF!</definedName>
    <definedName name="chartTableTotal" localSheetId="1">'NIFTY-Scientific, OPTION PRICIN'!#REF!</definedName>
    <definedName name="chartTableTotal" localSheetId="2">RIL!#REF!</definedName>
    <definedName name="chartTableTotal">'NIFTY - Simple Naive Forecastin'!#REF!</definedName>
    <definedName name="CLS" localSheetId="1">'NIFTY-Scientific, OPTION PRICIN'!$B$2:$B$1240</definedName>
    <definedName name="CLS" localSheetId="2">RIL!$B$2:$B$1240</definedName>
    <definedName name="CLS">'NIFTY - Simple Naive Forecastin'!$B$2:$B$1240</definedName>
    <definedName name="DAT" localSheetId="1">'NIFTY-Scientific, OPTION PRICIN'!$A$2:$A$1240</definedName>
    <definedName name="DAT" localSheetId="2">RIL!$A$2:$A$1240</definedName>
    <definedName name="DAT">'NIFTY - Simple Naive Forecastin'!$A$2:$A$1240</definedName>
    <definedName name="filterValues" localSheetId="1">'NIFTY-Scientific, OPTION PRICIN'!#REF!</definedName>
    <definedName name="filterValues" localSheetId="2">RIL!#REF!</definedName>
    <definedName name="filterValues">'NIFTY - Simple Naive Forecastin'!#REF!</definedName>
    <definedName name="FLOW" localSheetId="1">'NIFTY-Scientific, OPTION PRICIN'!#REF!</definedName>
    <definedName name="FLOW" localSheetId="2">RIL!#REF!</definedName>
    <definedName name="FLOW">'NIFTY - Simple Naive Forecastin'!#REF!</definedName>
    <definedName name="HIG" localSheetId="1">'NIFTY-Scientific, OPTION PRICIN'!#REF!</definedName>
    <definedName name="HIG" localSheetId="2">RIL!#REF!</definedName>
    <definedName name="HIG">'NIFTY - Simple Naive Forecastin'!#REF!</definedName>
    <definedName name="HLR" localSheetId="1">'NIFTY-Scientific, OPTION PRICIN'!#REF!</definedName>
    <definedName name="HLR" localSheetId="2">RIL!#REF!</definedName>
    <definedName name="HLR">'NIFTY - Simple Naive Forecastin'!#REF!</definedName>
    <definedName name="LOW" localSheetId="1">'NIFTY-Scientific, OPTION PRICIN'!#REF!</definedName>
    <definedName name="LOW" localSheetId="2">RIL!#REF!</definedName>
    <definedName name="LOW">'NIFTY - Simple Naive Forecastin'!#REF!</definedName>
    <definedName name="NET" localSheetId="1">'NIFTY-Scientific, OPTION PRICIN'!#REF!</definedName>
    <definedName name="NET" localSheetId="2">RIL!#REF!</definedName>
    <definedName name="NET">'NIFTY - Simple Naive Forecastin'!#REF!</definedName>
    <definedName name="OCR" localSheetId="1">'NIFTY-Scientific, OPTION PRICIN'!#REF!</definedName>
    <definedName name="OCR" localSheetId="2">RIL!#REF!</definedName>
    <definedName name="OCR">'NIFTY - Simple Naive Forecastin'!#REF!</definedName>
    <definedName name="OPN" localSheetId="1">'NIFTY-Scientific, OPTION PRICIN'!#REF!</definedName>
    <definedName name="OPN" localSheetId="2">RIL!#REF!</definedName>
    <definedName name="OPN">'NIFTY - Simple Naive Forecastin'!#REF!</definedName>
    <definedName name="PCC" localSheetId="1">'NIFTY-Scientific, OPTION PRICIN'!#REF!</definedName>
    <definedName name="PCC" localSheetId="2">RIL!#REF!</definedName>
    <definedName name="PCC">'NIFTY - Simple Naive Forecastin'!#REF!</definedName>
    <definedName name="PCT" localSheetId="1">'NIFTY-Scientific, OPTION PRICIN'!#REF!</definedName>
    <definedName name="PCT" localSheetId="2">RIL!#REF!</definedName>
    <definedName name="PCT">'NIFTY - Simple Naive Forecastin'!#REF!</definedName>
    <definedName name="PCV" localSheetId="1">'NIFTY-Scientific, OPTION PRICIN'!#REF!</definedName>
    <definedName name="PCV" localSheetId="2">RIL!#REF!</definedName>
    <definedName name="PCV">'NIFTY - Simple Naive Forecastin'!#REF!</definedName>
    <definedName name="phTableData" localSheetId="1">'NIFTY-Scientific, OPTION PRICIN'!$A$2:$B$1240</definedName>
    <definedName name="phTableData" localSheetId="2">RIL!$A$2:$B$1240</definedName>
    <definedName name="phTableData">'NIFTY - Simple Naive Forecastin'!$A$2:$B$1240</definedName>
    <definedName name="phTableHeader" localSheetId="1">'NIFTY-Scientific, OPTION PRICIN'!$A$1:$B$1</definedName>
    <definedName name="phTableHeader" localSheetId="2">RIL!$A$1:$B$1</definedName>
    <definedName name="phTableHeader">'NIFTY - Simple Naive Forecastin'!$A$1:$B$1</definedName>
    <definedName name="phTableName" localSheetId="1">'NIFTY-Scientific, OPTION PRICIN'!#REF!</definedName>
    <definedName name="phTableName" localSheetId="2">RIL!#REF!</definedName>
    <definedName name="phTableName">'NIFTY - Simple Naive Forecastin'!#REF!</definedName>
    <definedName name="sheetHeader" localSheetId="1">'NIFTY-Scientific, OPTION PRICIN'!#REF!</definedName>
    <definedName name="sheetHeader" localSheetId="2">RIL!#REF!</definedName>
    <definedName name="sheetHeader">'NIFTY - Simple Naive Forecastin'!#REF!</definedName>
    <definedName name="statPriceChangeTableData" localSheetId="1">'NIFTY-Scientific, OPTION PRICIN'!#REF!</definedName>
    <definedName name="statPriceChangeTableData" localSheetId="2">RIL!#REF!</definedName>
    <definedName name="statPriceChangeTableData">'NIFTY - Simple Naive Forecastin'!#REF!</definedName>
    <definedName name="statPriceChangeTableHeader" localSheetId="1">'NIFTY-Scientific, OPTION PRICIN'!#REF!</definedName>
    <definedName name="statPriceChangeTableHeader" localSheetId="2">RIL!#REF!</definedName>
    <definedName name="statPriceChangeTableHeader">'NIFTY - Simple Naive Forecastin'!#REF!</definedName>
    <definedName name="statPriceTableData" localSheetId="1">'NIFTY-Scientific, OPTION PRICIN'!#REF!</definedName>
    <definedName name="statPriceTableData" localSheetId="2">RIL!#REF!</definedName>
    <definedName name="statPriceTableData">'NIFTY - Simple Naive Forecastin'!#REF!</definedName>
    <definedName name="statPriceTableHeader" localSheetId="1">'NIFTY-Scientific, OPTION PRICIN'!#REF!</definedName>
    <definedName name="statPriceTableHeader" localSheetId="2">RIL!#REF!</definedName>
    <definedName name="statPriceTableHeader">'NIFTY - Simple Naive Forecastin'!#REF!</definedName>
    <definedName name="statTableName" localSheetId="1">'NIFTY-Scientific, OPTION PRICIN'!#REF!</definedName>
    <definedName name="statTableName" localSheetId="2">RIL!#REF!</definedName>
    <definedName name="statTableName">'NIFTY - Simple Naive Forecastin'!#REF!</definedName>
    <definedName name="statTurnoverTableData" localSheetId="1">'NIFTY-Scientific, OPTION PRICIN'!#REF!</definedName>
    <definedName name="statTurnoverTableData" localSheetId="2">RIL!#REF!</definedName>
    <definedName name="statTurnoverTableData">'NIFTY - Simple Naive Forecastin'!#REF!</definedName>
    <definedName name="statTurnoverTableHeader" localSheetId="1">'NIFTY-Scientific, OPTION PRICIN'!#REF!</definedName>
    <definedName name="statTurnoverTableHeader" localSheetId="2">RIL!#REF!</definedName>
    <definedName name="statTurnoverTableHeader">'NIFTY - Simple Naive Forecastin'!#REF!</definedName>
    <definedName name="statUpDownTableData" localSheetId="1">'NIFTY-Scientific, OPTION PRICIN'!#REF!</definedName>
    <definedName name="statUpDownTableData" localSheetId="2">RIL!#REF!</definedName>
    <definedName name="statUpDownTableData">'NIFTY - Simple Naive Forecastin'!#REF!</definedName>
    <definedName name="statUpDownTableHeader" localSheetId="1">'NIFTY-Scientific, OPTION PRICIN'!#REF!</definedName>
    <definedName name="statUpDownTableHeader" localSheetId="2">RIL!#REF!</definedName>
    <definedName name="statUpDownTableHeader">'NIFTY - Simple Naive Forecastin'!#REF!</definedName>
    <definedName name="statVolumeTableData" localSheetId="1">'NIFTY-Scientific, OPTION PRICIN'!#REF!</definedName>
    <definedName name="statVolumeTableData" localSheetId="2">RIL!#REF!</definedName>
    <definedName name="statVolumeTableData">'NIFTY - Simple Naive Forecastin'!#REF!</definedName>
    <definedName name="statVolumeTableHeader" localSheetId="1">'NIFTY-Scientific, OPTION PRICIN'!#REF!</definedName>
    <definedName name="statVolumeTableHeader" localSheetId="2">RIL!#REF!</definedName>
    <definedName name="statVolumeTableHeader">'NIFTY - Simple Naive Forecastin'!#REF!</definedName>
    <definedName name="TRNOVR_UNS" localSheetId="1">'NIFTY-Scientific, OPTION PRICIN'!#REF!</definedName>
    <definedName name="TRNOVR_UNS" localSheetId="2">RIL!#REF!</definedName>
    <definedName name="TRNOVR_UNS">'NIFTY - Simple Naive Forecastin'!#REF!</definedName>
    <definedName name="VOL" localSheetId="1">'NIFTY-Scientific, OPTION PRICIN'!#REF!</definedName>
    <definedName name="VOL" localSheetId="2">RIL!#REF!</definedName>
    <definedName name="VOL">'NIFTY - Simple Naive Forecastin'!#REF!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34" i="4" l="1"/>
  <c r="DI12" i="4"/>
  <c r="DP31" i="4" s="1"/>
  <c r="DI7" i="4"/>
  <c r="DI6" i="4"/>
  <c r="DI5" i="4"/>
  <c r="DI4" i="4"/>
  <c r="DI3" i="4"/>
  <c r="DP27" i="4"/>
  <c r="DI10" i="4"/>
  <c r="DI9" i="4"/>
  <c r="DJ31" i="4"/>
  <c r="DJ27" i="4"/>
  <c r="DH12" i="4"/>
  <c r="DH10" i="4"/>
  <c r="DH9" i="4"/>
  <c r="DH7" i="4"/>
  <c r="DH6" i="4"/>
  <c r="DH3" i="4"/>
  <c r="DE3" i="4"/>
  <c r="DE4" i="4" s="1"/>
  <c r="DE5" i="4" s="1"/>
  <c r="DE6" i="4" s="1"/>
  <c r="DE7" i="4" s="1"/>
  <c r="DE8" i="4" s="1"/>
  <c r="DE9" i="4" s="1"/>
  <c r="DE10" i="4" s="1"/>
  <c r="DE11" i="4" s="1"/>
  <c r="DE12" i="4" s="1"/>
  <c r="DE13" i="4" s="1"/>
  <c r="DE14" i="4" s="1"/>
  <c r="DE15" i="4" s="1"/>
  <c r="DE16" i="4" s="1"/>
  <c r="DE17" i="4" s="1"/>
  <c r="DE18" i="4" s="1"/>
  <c r="DE19" i="4" s="1"/>
  <c r="DE20" i="4" s="1"/>
  <c r="DE21" i="4" s="1"/>
  <c r="DE22" i="4" s="1"/>
  <c r="DE23" i="4" s="1"/>
  <c r="DE24" i="4" s="1"/>
  <c r="DE26" i="4" s="1"/>
  <c r="DE27" i="4" s="1"/>
  <c r="DD3" i="4"/>
  <c r="DD4" i="4" s="1"/>
  <c r="DD5" i="4" s="1"/>
  <c r="DD6" i="4" s="1"/>
  <c r="DD7" i="4" s="1"/>
  <c r="DD8" i="4" s="1"/>
  <c r="DD9" i="4" s="1"/>
  <c r="DD10" i="4" s="1"/>
  <c r="DD11" i="4" s="1"/>
  <c r="DD12" i="4" s="1"/>
  <c r="DD13" i="4" s="1"/>
  <c r="DD14" i="4" s="1"/>
  <c r="DD15" i="4" s="1"/>
  <c r="DD16" i="4" s="1"/>
  <c r="DD17" i="4" s="1"/>
  <c r="DD18" i="4" s="1"/>
  <c r="DD19" i="4" s="1"/>
  <c r="DD20" i="4" s="1"/>
  <c r="DD21" i="4" s="1"/>
  <c r="DD22" i="4" s="1"/>
  <c r="DD23" i="4" s="1"/>
  <c r="DD24" i="4" s="1"/>
  <c r="DD26" i="4" s="1"/>
  <c r="DD27" i="4" s="1"/>
  <c r="DC3" i="4"/>
  <c r="DC4" i="4" s="1"/>
  <c r="DC5" i="4" s="1"/>
  <c r="DC6" i="4" s="1"/>
  <c r="DC7" i="4" s="1"/>
  <c r="DC8" i="4" s="1"/>
  <c r="DC9" i="4" s="1"/>
  <c r="DC10" i="4" s="1"/>
  <c r="DC11" i="4" s="1"/>
  <c r="DC12" i="4" s="1"/>
  <c r="DC13" i="4" s="1"/>
  <c r="DC14" i="4" s="1"/>
  <c r="DC15" i="4" s="1"/>
  <c r="DC16" i="4" s="1"/>
  <c r="DC17" i="4" s="1"/>
  <c r="DC18" i="4" s="1"/>
  <c r="DC19" i="4" s="1"/>
  <c r="DC20" i="4" s="1"/>
  <c r="DC21" i="4" s="1"/>
  <c r="DC22" i="4" s="1"/>
  <c r="DC23" i="4" s="1"/>
  <c r="DC24" i="4" s="1"/>
  <c r="DC26" i="4" s="1"/>
  <c r="DC27" i="4" s="1"/>
  <c r="DB3" i="4"/>
  <c r="DB4" i="4" s="1"/>
  <c r="DB5" i="4" s="1"/>
  <c r="DB6" i="4" s="1"/>
  <c r="DB7" i="4" s="1"/>
  <c r="DB8" i="4" s="1"/>
  <c r="DB9" i="4" s="1"/>
  <c r="DB10" i="4" s="1"/>
  <c r="DB11" i="4" s="1"/>
  <c r="DB12" i="4" s="1"/>
  <c r="DB13" i="4" s="1"/>
  <c r="DB14" i="4" s="1"/>
  <c r="DB15" i="4" s="1"/>
  <c r="DB16" i="4" s="1"/>
  <c r="DB17" i="4" s="1"/>
  <c r="DB18" i="4" s="1"/>
  <c r="DB19" i="4" s="1"/>
  <c r="DB20" i="4" s="1"/>
  <c r="DB21" i="4" s="1"/>
  <c r="DB22" i="4" s="1"/>
  <c r="DB23" i="4" s="1"/>
  <c r="DB24" i="4" s="1"/>
  <c r="DB26" i="4" s="1"/>
  <c r="DB27" i="4" s="1"/>
  <c r="DA3" i="4"/>
  <c r="DA4" i="4" s="1"/>
  <c r="DA5" i="4" s="1"/>
  <c r="DA6" i="4" s="1"/>
  <c r="DA7" i="4" s="1"/>
  <c r="DA8" i="4" s="1"/>
  <c r="DA9" i="4" s="1"/>
  <c r="DA10" i="4" s="1"/>
  <c r="DA11" i="4" s="1"/>
  <c r="DA12" i="4" s="1"/>
  <c r="DA13" i="4" s="1"/>
  <c r="DA14" i="4" s="1"/>
  <c r="DA15" i="4" s="1"/>
  <c r="DA16" i="4" s="1"/>
  <c r="DA17" i="4" s="1"/>
  <c r="DA18" i="4" s="1"/>
  <c r="DA19" i="4" s="1"/>
  <c r="DA20" i="4" s="1"/>
  <c r="DA21" i="4" s="1"/>
  <c r="DA22" i="4" s="1"/>
  <c r="DA23" i="4" s="1"/>
  <c r="DA24" i="4" s="1"/>
  <c r="DA26" i="4" s="1"/>
  <c r="DA27" i="4" s="1"/>
  <c r="CZ3" i="4"/>
  <c r="CZ4" i="4" s="1"/>
  <c r="CZ5" i="4" s="1"/>
  <c r="CZ6" i="4" s="1"/>
  <c r="CZ7" i="4" s="1"/>
  <c r="CZ8" i="4" s="1"/>
  <c r="CZ9" i="4" s="1"/>
  <c r="CZ10" i="4" s="1"/>
  <c r="CZ11" i="4" s="1"/>
  <c r="CZ12" i="4" s="1"/>
  <c r="CZ13" i="4" s="1"/>
  <c r="CZ14" i="4" s="1"/>
  <c r="CZ15" i="4" s="1"/>
  <c r="CZ16" i="4" s="1"/>
  <c r="CZ17" i="4" s="1"/>
  <c r="CZ18" i="4" s="1"/>
  <c r="CZ19" i="4" s="1"/>
  <c r="CZ20" i="4" s="1"/>
  <c r="CZ21" i="4" s="1"/>
  <c r="CZ22" i="4" s="1"/>
  <c r="CZ23" i="4" s="1"/>
  <c r="CZ24" i="4" s="1"/>
  <c r="CZ26" i="4" s="1"/>
  <c r="CZ27" i="4" s="1"/>
  <c r="CY3" i="4"/>
  <c r="CY4" i="4" s="1"/>
  <c r="CY5" i="4" s="1"/>
  <c r="CY6" i="4" s="1"/>
  <c r="CY7" i="4" s="1"/>
  <c r="CY8" i="4" s="1"/>
  <c r="CY9" i="4" s="1"/>
  <c r="CY10" i="4" s="1"/>
  <c r="CY11" i="4" s="1"/>
  <c r="CY12" i="4" s="1"/>
  <c r="CY13" i="4" s="1"/>
  <c r="CY14" i="4" s="1"/>
  <c r="CY15" i="4" s="1"/>
  <c r="CY16" i="4" s="1"/>
  <c r="CY17" i="4" s="1"/>
  <c r="CY18" i="4" s="1"/>
  <c r="CY19" i="4" s="1"/>
  <c r="CY20" i="4" s="1"/>
  <c r="CY21" i="4" s="1"/>
  <c r="CY22" i="4" s="1"/>
  <c r="CY23" i="4" s="1"/>
  <c r="CY24" i="4" s="1"/>
  <c r="CY26" i="4" s="1"/>
  <c r="CY27" i="4" s="1"/>
  <c r="CX3" i="4"/>
  <c r="CX4" i="4" s="1"/>
  <c r="CX5" i="4" s="1"/>
  <c r="CX6" i="4" s="1"/>
  <c r="CX7" i="4" s="1"/>
  <c r="CX8" i="4" s="1"/>
  <c r="CX9" i="4" s="1"/>
  <c r="CX10" i="4" s="1"/>
  <c r="CX11" i="4" s="1"/>
  <c r="CX12" i="4" s="1"/>
  <c r="CX13" i="4" s="1"/>
  <c r="CX14" i="4" s="1"/>
  <c r="CX15" i="4" s="1"/>
  <c r="CX16" i="4" s="1"/>
  <c r="CX17" i="4" s="1"/>
  <c r="CX18" i="4" s="1"/>
  <c r="CX19" i="4" s="1"/>
  <c r="CX20" i="4" s="1"/>
  <c r="CX21" i="4" s="1"/>
  <c r="CX22" i="4" s="1"/>
  <c r="CX23" i="4" s="1"/>
  <c r="CX24" i="4" s="1"/>
  <c r="CX26" i="4" s="1"/>
  <c r="CX27" i="4" s="1"/>
  <c r="CW3" i="4"/>
  <c r="CW4" i="4" s="1"/>
  <c r="CW5" i="4" s="1"/>
  <c r="CW6" i="4" s="1"/>
  <c r="CW7" i="4" s="1"/>
  <c r="CW8" i="4" s="1"/>
  <c r="CW9" i="4" s="1"/>
  <c r="CW10" i="4" s="1"/>
  <c r="CW11" i="4" s="1"/>
  <c r="CW12" i="4" s="1"/>
  <c r="CW13" i="4" s="1"/>
  <c r="CW14" i="4" s="1"/>
  <c r="CW15" i="4" s="1"/>
  <c r="CW16" i="4" s="1"/>
  <c r="CW17" i="4" s="1"/>
  <c r="CW18" i="4" s="1"/>
  <c r="CW19" i="4" s="1"/>
  <c r="CW20" i="4" s="1"/>
  <c r="CW21" i="4" s="1"/>
  <c r="CW22" i="4" s="1"/>
  <c r="CW23" i="4" s="1"/>
  <c r="CW24" i="4" s="1"/>
  <c r="CW26" i="4" s="1"/>
  <c r="CW27" i="4" s="1"/>
  <c r="CV3" i="4"/>
  <c r="CV4" i="4" s="1"/>
  <c r="CV5" i="4" s="1"/>
  <c r="CV6" i="4" s="1"/>
  <c r="CV7" i="4" s="1"/>
  <c r="CV8" i="4" s="1"/>
  <c r="CV9" i="4" s="1"/>
  <c r="CV10" i="4" s="1"/>
  <c r="CV11" i="4" s="1"/>
  <c r="CV12" i="4" s="1"/>
  <c r="CV13" i="4" s="1"/>
  <c r="CV14" i="4" s="1"/>
  <c r="CV15" i="4" s="1"/>
  <c r="CV16" i="4" s="1"/>
  <c r="CV17" i="4" s="1"/>
  <c r="CV18" i="4" s="1"/>
  <c r="CV19" i="4" s="1"/>
  <c r="CV20" i="4" s="1"/>
  <c r="CV21" i="4" s="1"/>
  <c r="CV22" i="4" s="1"/>
  <c r="CV23" i="4" s="1"/>
  <c r="CV24" i="4" s="1"/>
  <c r="CV26" i="4" s="1"/>
  <c r="CV27" i="4" s="1"/>
  <c r="CU3" i="4"/>
  <c r="CT3" i="4"/>
  <c r="CT4" i="4" s="1"/>
  <c r="CT5" i="4" s="1"/>
  <c r="CT6" i="4" s="1"/>
  <c r="CT7" i="4" s="1"/>
  <c r="CT8" i="4" s="1"/>
  <c r="CT9" i="4" s="1"/>
  <c r="CT10" i="4" s="1"/>
  <c r="CT11" i="4" s="1"/>
  <c r="CT12" i="4" s="1"/>
  <c r="CT13" i="4" s="1"/>
  <c r="CT14" i="4" s="1"/>
  <c r="CT15" i="4" s="1"/>
  <c r="CT16" i="4" s="1"/>
  <c r="CT17" i="4" s="1"/>
  <c r="CT18" i="4" s="1"/>
  <c r="CT19" i="4" s="1"/>
  <c r="CT20" i="4" s="1"/>
  <c r="CT21" i="4" s="1"/>
  <c r="CT22" i="4" s="1"/>
  <c r="CT23" i="4" s="1"/>
  <c r="CT24" i="4" s="1"/>
  <c r="CT26" i="4" s="1"/>
  <c r="CT27" i="4" s="1"/>
  <c r="CS3" i="4"/>
  <c r="CS4" i="4" s="1"/>
  <c r="CS5" i="4" s="1"/>
  <c r="CS6" i="4" s="1"/>
  <c r="CS7" i="4" s="1"/>
  <c r="CS8" i="4" s="1"/>
  <c r="CS9" i="4" s="1"/>
  <c r="CS10" i="4" s="1"/>
  <c r="CS11" i="4" s="1"/>
  <c r="CS12" i="4" s="1"/>
  <c r="CS13" i="4" s="1"/>
  <c r="CS14" i="4" s="1"/>
  <c r="CS15" i="4" s="1"/>
  <c r="CS16" i="4" s="1"/>
  <c r="CS17" i="4" s="1"/>
  <c r="CS18" i="4" s="1"/>
  <c r="CS19" i="4" s="1"/>
  <c r="CS20" i="4" s="1"/>
  <c r="CS21" i="4" s="1"/>
  <c r="CS22" i="4" s="1"/>
  <c r="CS23" i="4" s="1"/>
  <c r="CS24" i="4" s="1"/>
  <c r="CS26" i="4" s="1"/>
  <c r="CS27" i="4" s="1"/>
  <c r="CR3" i="4"/>
  <c r="CR4" i="4" s="1"/>
  <c r="CR5" i="4" s="1"/>
  <c r="CR6" i="4" s="1"/>
  <c r="CR7" i="4" s="1"/>
  <c r="CR8" i="4" s="1"/>
  <c r="CR9" i="4" s="1"/>
  <c r="CR10" i="4" s="1"/>
  <c r="CR11" i="4" s="1"/>
  <c r="CR12" i="4" s="1"/>
  <c r="CR13" i="4" s="1"/>
  <c r="CR14" i="4" s="1"/>
  <c r="CR15" i="4" s="1"/>
  <c r="CR16" i="4" s="1"/>
  <c r="CR17" i="4" s="1"/>
  <c r="CR18" i="4" s="1"/>
  <c r="CR19" i="4" s="1"/>
  <c r="CR20" i="4" s="1"/>
  <c r="CR21" i="4" s="1"/>
  <c r="CR22" i="4" s="1"/>
  <c r="CR23" i="4" s="1"/>
  <c r="CR24" i="4" s="1"/>
  <c r="CR26" i="4" s="1"/>
  <c r="CR27" i="4" s="1"/>
  <c r="CQ3" i="4"/>
  <c r="CQ4" i="4" s="1"/>
  <c r="CQ5" i="4" s="1"/>
  <c r="CQ6" i="4" s="1"/>
  <c r="CQ7" i="4" s="1"/>
  <c r="CQ8" i="4" s="1"/>
  <c r="CQ9" i="4" s="1"/>
  <c r="CQ10" i="4" s="1"/>
  <c r="CQ11" i="4" s="1"/>
  <c r="CQ12" i="4" s="1"/>
  <c r="CQ13" i="4" s="1"/>
  <c r="CQ14" i="4" s="1"/>
  <c r="CQ15" i="4" s="1"/>
  <c r="CQ16" i="4" s="1"/>
  <c r="CQ17" i="4" s="1"/>
  <c r="CQ18" i="4" s="1"/>
  <c r="CQ19" i="4" s="1"/>
  <c r="CQ20" i="4" s="1"/>
  <c r="CQ21" i="4" s="1"/>
  <c r="CQ22" i="4" s="1"/>
  <c r="CQ23" i="4" s="1"/>
  <c r="CQ24" i="4" s="1"/>
  <c r="CQ26" i="4" s="1"/>
  <c r="CQ27" i="4" s="1"/>
  <c r="CP3" i="4"/>
  <c r="CP4" i="4" s="1"/>
  <c r="CP5" i="4" s="1"/>
  <c r="CP6" i="4" s="1"/>
  <c r="CP7" i="4" s="1"/>
  <c r="CP8" i="4" s="1"/>
  <c r="CP9" i="4" s="1"/>
  <c r="CP10" i="4" s="1"/>
  <c r="CP11" i="4" s="1"/>
  <c r="CP12" i="4" s="1"/>
  <c r="CP13" i="4" s="1"/>
  <c r="CP14" i="4" s="1"/>
  <c r="CP15" i="4" s="1"/>
  <c r="CP16" i="4" s="1"/>
  <c r="CP17" i="4" s="1"/>
  <c r="CP18" i="4" s="1"/>
  <c r="CP19" i="4" s="1"/>
  <c r="CP20" i="4" s="1"/>
  <c r="CP21" i="4" s="1"/>
  <c r="CP22" i="4" s="1"/>
  <c r="CP23" i="4" s="1"/>
  <c r="CP24" i="4" s="1"/>
  <c r="CP26" i="4" s="1"/>
  <c r="CP27" i="4" s="1"/>
  <c r="CO3" i="4"/>
  <c r="CO4" i="4" s="1"/>
  <c r="CO5" i="4" s="1"/>
  <c r="CO6" i="4" s="1"/>
  <c r="CO7" i="4" s="1"/>
  <c r="CO8" i="4" s="1"/>
  <c r="CO9" i="4" s="1"/>
  <c r="CO10" i="4" s="1"/>
  <c r="CO11" i="4" s="1"/>
  <c r="CO12" i="4" s="1"/>
  <c r="CO13" i="4" s="1"/>
  <c r="CO14" i="4" s="1"/>
  <c r="CO15" i="4" s="1"/>
  <c r="CO16" i="4" s="1"/>
  <c r="CO17" i="4" s="1"/>
  <c r="CO18" i="4" s="1"/>
  <c r="CO19" i="4" s="1"/>
  <c r="CO20" i="4" s="1"/>
  <c r="CO21" i="4" s="1"/>
  <c r="CO22" i="4" s="1"/>
  <c r="CO23" i="4" s="1"/>
  <c r="CO24" i="4" s="1"/>
  <c r="CO26" i="4" s="1"/>
  <c r="CO27" i="4" s="1"/>
  <c r="CN3" i="4"/>
  <c r="CN4" i="4" s="1"/>
  <c r="CN5" i="4" s="1"/>
  <c r="CN6" i="4" s="1"/>
  <c r="CN7" i="4" s="1"/>
  <c r="CN8" i="4" s="1"/>
  <c r="CN9" i="4" s="1"/>
  <c r="CN10" i="4" s="1"/>
  <c r="CN11" i="4" s="1"/>
  <c r="CN12" i="4" s="1"/>
  <c r="CN13" i="4" s="1"/>
  <c r="CN14" i="4" s="1"/>
  <c r="CN15" i="4" s="1"/>
  <c r="CN16" i="4" s="1"/>
  <c r="CN17" i="4" s="1"/>
  <c r="CN18" i="4" s="1"/>
  <c r="CN19" i="4" s="1"/>
  <c r="CN20" i="4" s="1"/>
  <c r="CN21" i="4" s="1"/>
  <c r="CN22" i="4" s="1"/>
  <c r="CN23" i="4" s="1"/>
  <c r="CN24" i="4" s="1"/>
  <c r="CN26" i="4" s="1"/>
  <c r="CN27" i="4" s="1"/>
  <c r="CM3" i="4"/>
  <c r="CM4" i="4" s="1"/>
  <c r="CM5" i="4" s="1"/>
  <c r="CM6" i="4" s="1"/>
  <c r="CM7" i="4" s="1"/>
  <c r="CM8" i="4" s="1"/>
  <c r="CM9" i="4" s="1"/>
  <c r="CM10" i="4" s="1"/>
  <c r="CM11" i="4" s="1"/>
  <c r="CM12" i="4" s="1"/>
  <c r="CM13" i="4" s="1"/>
  <c r="CM14" i="4" s="1"/>
  <c r="CM15" i="4" s="1"/>
  <c r="CM16" i="4" s="1"/>
  <c r="CM17" i="4" s="1"/>
  <c r="CM18" i="4" s="1"/>
  <c r="CM19" i="4" s="1"/>
  <c r="CM20" i="4" s="1"/>
  <c r="CM21" i="4" s="1"/>
  <c r="CM22" i="4" s="1"/>
  <c r="CM23" i="4" s="1"/>
  <c r="CM24" i="4" s="1"/>
  <c r="CM26" i="4" s="1"/>
  <c r="CM27" i="4" s="1"/>
  <c r="CL3" i="4"/>
  <c r="CL4" i="4" s="1"/>
  <c r="CL5" i="4" s="1"/>
  <c r="CL6" i="4" s="1"/>
  <c r="CL7" i="4" s="1"/>
  <c r="CL8" i="4" s="1"/>
  <c r="CL9" i="4" s="1"/>
  <c r="CL10" i="4" s="1"/>
  <c r="CL11" i="4" s="1"/>
  <c r="CL12" i="4" s="1"/>
  <c r="CL13" i="4" s="1"/>
  <c r="CL14" i="4" s="1"/>
  <c r="CL15" i="4" s="1"/>
  <c r="CL16" i="4" s="1"/>
  <c r="CL17" i="4" s="1"/>
  <c r="CL18" i="4" s="1"/>
  <c r="CL19" i="4" s="1"/>
  <c r="CL20" i="4" s="1"/>
  <c r="CL21" i="4" s="1"/>
  <c r="CL22" i="4" s="1"/>
  <c r="CL23" i="4" s="1"/>
  <c r="CL24" i="4" s="1"/>
  <c r="CL26" i="4" s="1"/>
  <c r="CL27" i="4" s="1"/>
  <c r="CK3" i="4"/>
  <c r="CK4" i="4" s="1"/>
  <c r="CK5" i="4" s="1"/>
  <c r="CK6" i="4" s="1"/>
  <c r="CK7" i="4" s="1"/>
  <c r="CK8" i="4" s="1"/>
  <c r="CK9" i="4" s="1"/>
  <c r="CK10" i="4" s="1"/>
  <c r="CK11" i="4" s="1"/>
  <c r="CK12" i="4" s="1"/>
  <c r="CK13" i="4" s="1"/>
  <c r="CK14" i="4" s="1"/>
  <c r="CK15" i="4" s="1"/>
  <c r="CK16" i="4" s="1"/>
  <c r="CK17" i="4" s="1"/>
  <c r="CK18" i="4" s="1"/>
  <c r="CK19" i="4" s="1"/>
  <c r="CK20" i="4" s="1"/>
  <c r="CK21" i="4" s="1"/>
  <c r="CK22" i="4" s="1"/>
  <c r="CK23" i="4" s="1"/>
  <c r="CK24" i="4" s="1"/>
  <c r="CK26" i="4" s="1"/>
  <c r="CK27" i="4" s="1"/>
  <c r="CJ3" i="4"/>
  <c r="CJ4" i="4" s="1"/>
  <c r="CJ5" i="4" s="1"/>
  <c r="CJ6" i="4" s="1"/>
  <c r="CJ7" i="4" s="1"/>
  <c r="CJ8" i="4" s="1"/>
  <c r="CJ9" i="4" s="1"/>
  <c r="CJ10" i="4" s="1"/>
  <c r="CJ11" i="4" s="1"/>
  <c r="CJ12" i="4" s="1"/>
  <c r="CJ13" i="4" s="1"/>
  <c r="CJ14" i="4" s="1"/>
  <c r="CJ15" i="4" s="1"/>
  <c r="CJ16" i="4" s="1"/>
  <c r="CJ17" i="4" s="1"/>
  <c r="CJ18" i="4" s="1"/>
  <c r="CJ19" i="4" s="1"/>
  <c r="CJ20" i="4" s="1"/>
  <c r="CJ21" i="4" s="1"/>
  <c r="CJ22" i="4" s="1"/>
  <c r="CJ23" i="4" s="1"/>
  <c r="CJ24" i="4" s="1"/>
  <c r="CJ26" i="4" s="1"/>
  <c r="CJ27" i="4" s="1"/>
  <c r="CI3" i="4"/>
  <c r="CH3" i="4"/>
  <c r="CH4" i="4" s="1"/>
  <c r="CH5" i="4" s="1"/>
  <c r="CH6" i="4" s="1"/>
  <c r="CH7" i="4" s="1"/>
  <c r="CH8" i="4" s="1"/>
  <c r="CH9" i="4" s="1"/>
  <c r="CH10" i="4" s="1"/>
  <c r="CH11" i="4" s="1"/>
  <c r="CH12" i="4" s="1"/>
  <c r="CH13" i="4" s="1"/>
  <c r="CH14" i="4" s="1"/>
  <c r="CH15" i="4" s="1"/>
  <c r="CH16" i="4" s="1"/>
  <c r="CH17" i="4" s="1"/>
  <c r="CH18" i="4" s="1"/>
  <c r="CH19" i="4" s="1"/>
  <c r="CH20" i="4" s="1"/>
  <c r="CH21" i="4" s="1"/>
  <c r="CH22" i="4" s="1"/>
  <c r="CH23" i="4" s="1"/>
  <c r="CH24" i="4" s="1"/>
  <c r="CH26" i="4" s="1"/>
  <c r="CH27" i="4" s="1"/>
  <c r="CG3" i="4"/>
  <c r="CG4" i="4" s="1"/>
  <c r="CG5" i="4" s="1"/>
  <c r="CG6" i="4" s="1"/>
  <c r="CG7" i="4" s="1"/>
  <c r="CG8" i="4" s="1"/>
  <c r="CG9" i="4" s="1"/>
  <c r="CG10" i="4" s="1"/>
  <c r="CG11" i="4" s="1"/>
  <c r="CG12" i="4" s="1"/>
  <c r="CG13" i="4" s="1"/>
  <c r="CG14" i="4" s="1"/>
  <c r="CG15" i="4" s="1"/>
  <c r="CG16" i="4" s="1"/>
  <c r="CG17" i="4" s="1"/>
  <c r="CG18" i="4" s="1"/>
  <c r="CG19" i="4" s="1"/>
  <c r="CG20" i="4" s="1"/>
  <c r="CG21" i="4" s="1"/>
  <c r="CG22" i="4" s="1"/>
  <c r="CG23" i="4" s="1"/>
  <c r="CG24" i="4" s="1"/>
  <c r="CG26" i="4" s="1"/>
  <c r="CG27" i="4" s="1"/>
  <c r="CF3" i="4"/>
  <c r="CF4" i="4" s="1"/>
  <c r="CF5" i="4" s="1"/>
  <c r="CF6" i="4" s="1"/>
  <c r="CF7" i="4" s="1"/>
  <c r="CF8" i="4" s="1"/>
  <c r="CF9" i="4" s="1"/>
  <c r="CF10" i="4" s="1"/>
  <c r="CF11" i="4" s="1"/>
  <c r="CF12" i="4" s="1"/>
  <c r="CF13" i="4" s="1"/>
  <c r="CF14" i="4" s="1"/>
  <c r="CF15" i="4" s="1"/>
  <c r="CF16" i="4" s="1"/>
  <c r="CF17" i="4" s="1"/>
  <c r="CF18" i="4" s="1"/>
  <c r="CF19" i="4" s="1"/>
  <c r="CF20" i="4" s="1"/>
  <c r="CF21" i="4" s="1"/>
  <c r="CF22" i="4" s="1"/>
  <c r="CF23" i="4" s="1"/>
  <c r="CF24" i="4" s="1"/>
  <c r="CF26" i="4" s="1"/>
  <c r="CF27" i="4" s="1"/>
  <c r="CE3" i="4"/>
  <c r="CE4" i="4" s="1"/>
  <c r="CE5" i="4" s="1"/>
  <c r="CE6" i="4" s="1"/>
  <c r="CE7" i="4" s="1"/>
  <c r="CE8" i="4" s="1"/>
  <c r="CE9" i="4" s="1"/>
  <c r="CE10" i="4" s="1"/>
  <c r="CE11" i="4" s="1"/>
  <c r="CE12" i="4" s="1"/>
  <c r="CE13" i="4" s="1"/>
  <c r="CE14" i="4" s="1"/>
  <c r="CE15" i="4" s="1"/>
  <c r="CE16" i="4" s="1"/>
  <c r="CE17" i="4" s="1"/>
  <c r="CE18" i="4" s="1"/>
  <c r="CE19" i="4" s="1"/>
  <c r="CE20" i="4" s="1"/>
  <c r="CE21" i="4" s="1"/>
  <c r="CE22" i="4" s="1"/>
  <c r="CE23" i="4" s="1"/>
  <c r="CE24" i="4" s="1"/>
  <c r="CE26" i="4" s="1"/>
  <c r="CE27" i="4" s="1"/>
  <c r="CD3" i="4"/>
  <c r="CD4" i="4" s="1"/>
  <c r="CD5" i="4" s="1"/>
  <c r="CD6" i="4" s="1"/>
  <c r="CD7" i="4" s="1"/>
  <c r="CD8" i="4" s="1"/>
  <c r="CD9" i="4" s="1"/>
  <c r="CD10" i="4" s="1"/>
  <c r="CD11" i="4" s="1"/>
  <c r="CD12" i="4" s="1"/>
  <c r="CD13" i="4" s="1"/>
  <c r="CD14" i="4" s="1"/>
  <c r="CD15" i="4" s="1"/>
  <c r="CD16" i="4" s="1"/>
  <c r="CD17" i="4" s="1"/>
  <c r="CD18" i="4" s="1"/>
  <c r="CD19" i="4" s="1"/>
  <c r="CD20" i="4" s="1"/>
  <c r="CD21" i="4" s="1"/>
  <c r="CD22" i="4" s="1"/>
  <c r="CD23" i="4" s="1"/>
  <c r="CD24" i="4" s="1"/>
  <c r="CD26" i="4" s="1"/>
  <c r="CD27" i="4" s="1"/>
  <c r="CC3" i="4"/>
  <c r="CC4" i="4" s="1"/>
  <c r="CC5" i="4" s="1"/>
  <c r="CC6" i="4" s="1"/>
  <c r="CC7" i="4" s="1"/>
  <c r="CC8" i="4" s="1"/>
  <c r="CC9" i="4" s="1"/>
  <c r="CC10" i="4" s="1"/>
  <c r="CC11" i="4" s="1"/>
  <c r="CC12" i="4" s="1"/>
  <c r="CC13" i="4" s="1"/>
  <c r="CC14" i="4" s="1"/>
  <c r="CC15" i="4" s="1"/>
  <c r="CC16" i="4" s="1"/>
  <c r="CC17" i="4" s="1"/>
  <c r="CC18" i="4" s="1"/>
  <c r="CC19" i="4" s="1"/>
  <c r="CC20" i="4" s="1"/>
  <c r="CC21" i="4" s="1"/>
  <c r="CC22" i="4" s="1"/>
  <c r="CC23" i="4" s="1"/>
  <c r="CC24" i="4" s="1"/>
  <c r="CC26" i="4" s="1"/>
  <c r="CC27" i="4" s="1"/>
  <c r="CB3" i="4"/>
  <c r="CA3" i="4"/>
  <c r="CA4" i="4" s="1"/>
  <c r="CA5" i="4" s="1"/>
  <c r="CA6" i="4" s="1"/>
  <c r="CA7" i="4" s="1"/>
  <c r="CA8" i="4" s="1"/>
  <c r="CA9" i="4" s="1"/>
  <c r="CA10" i="4" s="1"/>
  <c r="CA11" i="4" s="1"/>
  <c r="CA12" i="4" s="1"/>
  <c r="CA13" i="4" s="1"/>
  <c r="CA14" i="4" s="1"/>
  <c r="CA15" i="4" s="1"/>
  <c r="CA16" i="4" s="1"/>
  <c r="CA17" i="4" s="1"/>
  <c r="CA18" i="4" s="1"/>
  <c r="CA19" i="4" s="1"/>
  <c r="CA20" i="4" s="1"/>
  <c r="CA21" i="4" s="1"/>
  <c r="CA22" i="4" s="1"/>
  <c r="CA23" i="4" s="1"/>
  <c r="CA24" i="4" s="1"/>
  <c r="CA26" i="4" s="1"/>
  <c r="CA27" i="4" s="1"/>
  <c r="BZ3" i="4"/>
  <c r="BZ4" i="4" s="1"/>
  <c r="BZ5" i="4" s="1"/>
  <c r="BZ6" i="4" s="1"/>
  <c r="BZ7" i="4" s="1"/>
  <c r="BZ8" i="4" s="1"/>
  <c r="BZ9" i="4" s="1"/>
  <c r="BZ10" i="4" s="1"/>
  <c r="BZ11" i="4" s="1"/>
  <c r="BZ12" i="4" s="1"/>
  <c r="BZ13" i="4" s="1"/>
  <c r="BZ14" i="4" s="1"/>
  <c r="BZ15" i="4" s="1"/>
  <c r="BZ16" i="4" s="1"/>
  <c r="BZ17" i="4" s="1"/>
  <c r="BZ18" i="4" s="1"/>
  <c r="BZ19" i="4" s="1"/>
  <c r="BZ20" i="4" s="1"/>
  <c r="BZ21" i="4" s="1"/>
  <c r="BZ22" i="4" s="1"/>
  <c r="BZ23" i="4" s="1"/>
  <c r="BZ24" i="4" s="1"/>
  <c r="BZ26" i="4" s="1"/>
  <c r="BZ27" i="4" s="1"/>
  <c r="BY3" i="4"/>
  <c r="BY4" i="4" s="1"/>
  <c r="BY5" i="4" s="1"/>
  <c r="BY6" i="4" s="1"/>
  <c r="BY7" i="4" s="1"/>
  <c r="BY8" i="4" s="1"/>
  <c r="BY9" i="4" s="1"/>
  <c r="BY10" i="4" s="1"/>
  <c r="BY11" i="4" s="1"/>
  <c r="BY12" i="4" s="1"/>
  <c r="BY13" i="4" s="1"/>
  <c r="BY14" i="4" s="1"/>
  <c r="BY15" i="4" s="1"/>
  <c r="BY16" i="4" s="1"/>
  <c r="BY17" i="4" s="1"/>
  <c r="BY18" i="4" s="1"/>
  <c r="BY19" i="4" s="1"/>
  <c r="BY20" i="4" s="1"/>
  <c r="BY21" i="4" s="1"/>
  <c r="BY22" i="4" s="1"/>
  <c r="BY23" i="4" s="1"/>
  <c r="BY24" i="4" s="1"/>
  <c r="BY26" i="4" s="1"/>
  <c r="BY27" i="4" s="1"/>
  <c r="BX3" i="4"/>
  <c r="BX4" i="4" s="1"/>
  <c r="BX5" i="4" s="1"/>
  <c r="BX6" i="4" s="1"/>
  <c r="BX7" i="4" s="1"/>
  <c r="BX8" i="4" s="1"/>
  <c r="BX9" i="4" s="1"/>
  <c r="BX10" i="4" s="1"/>
  <c r="BX11" i="4" s="1"/>
  <c r="BX12" i="4" s="1"/>
  <c r="BX13" i="4" s="1"/>
  <c r="BX14" i="4" s="1"/>
  <c r="BX15" i="4" s="1"/>
  <c r="BX16" i="4" s="1"/>
  <c r="BX17" i="4" s="1"/>
  <c r="BX18" i="4" s="1"/>
  <c r="BX19" i="4" s="1"/>
  <c r="BX20" i="4" s="1"/>
  <c r="BX21" i="4" s="1"/>
  <c r="BX22" i="4" s="1"/>
  <c r="BX23" i="4" s="1"/>
  <c r="BX24" i="4" s="1"/>
  <c r="BX26" i="4" s="1"/>
  <c r="BX27" i="4" s="1"/>
  <c r="BW3" i="4"/>
  <c r="BV3" i="4"/>
  <c r="BV4" i="4" s="1"/>
  <c r="BV5" i="4" s="1"/>
  <c r="BV6" i="4" s="1"/>
  <c r="BV7" i="4" s="1"/>
  <c r="BV8" i="4" s="1"/>
  <c r="BV9" i="4" s="1"/>
  <c r="BV10" i="4" s="1"/>
  <c r="BV11" i="4" s="1"/>
  <c r="BV12" i="4" s="1"/>
  <c r="BV13" i="4" s="1"/>
  <c r="BV14" i="4" s="1"/>
  <c r="BV15" i="4" s="1"/>
  <c r="BV16" i="4" s="1"/>
  <c r="BV17" i="4" s="1"/>
  <c r="BV18" i="4" s="1"/>
  <c r="BV19" i="4" s="1"/>
  <c r="BV20" i="4" s="1"/>
  <c r="BV21" i="4" s="1"/>
  <c r="BV22" i="4" s="1"/>
  <c r="BV23" i="4" s="1"/>
  <c r="BV24" i="4" s="1"/>
  <c r="BV26" i="4" s="1"/>
  <c r="BV27" i="4" s="1"/>
  <c r="BU3" i="4"/>
  <c r="BU4" i="4" s="1"/>
  <c r="BU5" i="4" s="1"/>
  <c r="BU6" i="4" s="1"/>
  <c r="BU7" i="4" s="1"/>
  <c r="BU8" i="4" s="1"/>
  <c r="BU9" i="4" s="1"/>
  <c r="BU10" i="4" s="1"/>
  <c r="BU11" i="4" s="1"/>
  <c r="BU12" i="4" s="1"/>
  <c r="BU13" i="4" s="1"/>
  <c r="BU14" i="4" s="1"/>
  <c r="BU15" i="4" s="1"/>
  <c r="BU16" i="4" s="1"/>
  <c r="BU17" i="4" s="1"/>
  <c r="BU18" i="4" s="1"/>
  <c r="BU19" i="4" s="1"/>
  <c r="BU20" i="4" s="1"/>
  <c r="BU21" i="4" s="1"/>
  <c r="BU22" i="4" s="1"/>
  <c r="BU23" i="4" s="1"/>
  <c r="BU24" i="4" s="1"/>
  <c r="BU26" i="4" s="1"/>
  <c r="BU27" i="4" s="1"/>
  <c r="BT3" i="4"/>
  <c r="BT4" i="4" s="1"/>
  <c r="BT5" i="4" s="1"/>
  <c r="BT6" i="4" s="1"/>
  <c r="BT7" i="4" s="1"/>
  <c r="BT8" i="4" s="1"/>
  <c r="BT9" i="4" s="1"/>
  <c r="BT10" i="4" s="1"/>
  <c r="BT11" i="4" s="1"/>
  <c r="BT12" i="4" s="1"/>
  <c r="BT13" i="4" s="1"/>
  <c r="BT14" i="4" s="1"/>
  <c r="BT15" i="4" s="1"/>
  <c r="BT16" i="4" s="1"/>
  <c r="BT17" i="4" s="1"/>
  <c r="BT18" i="4" s="1"/>
  <c r="BT19" i="4" s="1"/>
  <c r="BT20" i="4" s="1"/>
  <c r="BT21" i="4" s="1"/>
  <c r="BT22" i="4" s="1"/>
  <c r="BT23" i="4" s="1"/>
  <c r="BT24" i="4" s="1"/>
  <c r="BT26" i="4" s="1"/>
  <c r="BT27" i="4" s="1"/>
  <c r="BS3" i="4"/>
  <c r="BS4" i="4" s="1"/>
  <c r="BS5" i="4" s="1"/>
  <c r="BS6" i="4" s="1"/>
  <c r="BS7" i="4" s="1"/>
  <c r="BS8" i="4" s="1"/>
  <c r="BS9" i="4" s="1"/>
  <c r="BS10" i="4" s="1"/>
  <c r="BS11" i="4" s="1"/>
  <c r="BS12" i="4" s="1"/>
  <c r="BS13" i="4" s="1"/>
  <c r="BS14" i="4" s="1"/>
  <c r="BS15" i="4" s="1"/>
  <c r="BS16" i="4" s="1"/>
  <c r="BS17" i="4" s="1"/>
  <c r="BS18" i="4" s="1"/>
  <c r="BS19" i="4" s="1"/>
  <c r="BS20" i="4" s="1"/>
  <c r="BS21" i="4" s="1"/>
  <c r="BS22" i="4" s="1"/>
  <c r="BS23" i="4" s="1"/>
  <c r="BS24" i="4" s="1"/>
  <c r="BS26" i="4" s="1"/>
  <c r="BS27" i="4" s="1"/>
  <c r="BR3" i="4"/>
  <c r="BR4" i="4" s="1"/>
  <c r="BR5" i="4" s="1"/>
  <c r="BR6" i="4" s="1"/>
  <c r="BR7" i="4" s="1"/>
  <c r="BR8" i="4" s="1"/>
  <c r="BR9" i="4" s="1"/>
  <c r="BR10" i="4" s="1"/>
  <c r="BR11" i="4" s="1"/>
  <c r="BR12" i="4" s="1"/>
  <c r="BR13" i="4" s="1"/>
  <c r="BR14" i="4" s="1"/>
  <c r="BR15" i="4" s="1"/>
  <c r="BR16" i="4" s="1"/>
  <c r="BR17" i="4" s="1"/>
  <c r="BR18" i="4" s="1"/>
  <c r="BR19" i="4" s="1"/>
  <c r="BR20" i="4" s="1"/>
  <c r="BR21" i="4" s="1"/>
  <c r="BR22" i="4" s="1"/>
  <c r="BR23" i="4" s="1"/>
  <c r="BR24" i="4" s="1"/>
  <c r="BR26" i="4" s="1"/>
  <c r="BR27" i="4" s="1"/>
  <c r="BQ3" i="4"/>
  <c r="BQ4" i="4" s="1"/>
  <c r="BQ5" i="4" s="1"/>
  <c r="BQ6" i="4" s="1"/>
  <c r="BQ7" i="4" s="1"/>
  <c r="BQ8" i="4" s="1"/>
  <c r="BQ9" i="4" s="1"/>
  <c r="BQ10" i="4" s="1"/>
  <c r="BQ11" i="4" s="1"/>
  <c r="BQ12" i="4" s="1"/>
  <c r="BQ13" i="4" s="1"/>
  <c r="BQ14" i="4" s="1"/>
  <c r="BQ15" i="4" s="1"/>
  <c r="BQ16" i="4" s="1"/>
  <c r="BQ17" i="4" s="1"/>
  <c r="BQ18" i="4" s="1"/>
  <c r="BQ19" i="4" s="1"/>
  <c r="BQ20" i="4" s="1"/>
  <c r="BQ21" i="4" s="1"/>
  <c r="BQ22" i="4" s="1"/>
  <c r="BQ23" i="4" s="1"/>
  <c r="BQ24" i="4" s="1"/>
  <c r="BQ26" i="4" s="1"/>
  <c r="BQ27" i="4" s="1"/>
  <c r="BP3" i="4"/>
  <c r="BP4" i="4" s="1"/>
  <c r="BP5" i="4" s="1"/>
  <c r="BP6" i="4" s="1"/>
  <c r="BP7" i="4" s="1"/>
  <c r="BP8" i="4" s="1"/>
  <c r="BP9" i="4" s="1"/>
  <c r="BP10" i="4" s="1"/>
  <c r="BP11" i="4" s="1"/>
  <c r="BP12" i="4" s="1"/>
  <c r="BP13" i="4" s="1"/>
  <c r="BP14" i="4" s="1"/>
  <c r="BP15" i="4" s="1"/>
  <c r="BP16" i="4" s="1"/>
  <c r="BP17" i="4" s="1"/>
  <c r="BP18" i="4" s="1"/>
  <c r="BP19" i="4" s="1"/>
  <c r="BP20" i="4" s="1"/>
  <c r="BP21" i="4" s="1"/>
  <c r="BP22" i="4" s="1"/>
  <c r="BP23" i="4" s="1"/>
  <c r="BP24" i="4" s="1"/>
  <c r="BP26" i="4" s="1"/>
  <c r="BP27" i="4" s="1"/>
  <c r="BO3" i="4"/>
  <c r="BO4" i="4" s="1"/>
  <c r="BO5" i="4" s="1"/>
  <c r="BO6" i="4" s="1"/>
  <c r="BO7" i="4" s="1"/>
  <c r="BO8" i="4" s="1"/>
  <c r="BO9" i="4" s="1"/>
  <c r="BO10" i="4" s="1"/>
  <c r="BO11" i="4" s="1"/>
  <c r="BO12" i="4" s="1"/>
  <c r="BO13" i="4" s="1"/>
  <c r="BO14" i="4" s="1"/>
  <c r="BO15" i="4" s="1"/>
  <c r="BO16" i="4" s="1"/>
  <c r="BO17" i="4" s="1"/>
  <c r="BO18" i="4" s="1"/>
  <c r="BO19" i="4" s="1"/>
  <c r="BO20" i="4" s="1"/>
  <c r="BO21" i="4" s="1"/>
  <c r="BO22" i="4" s="1"/>
  <c r="BO23" i="4" s="1"/>
  <c r="BO24" i="4" s="1"/>
  <c r="BO26" i="4" s="1"/>
  <c r="BO27" i="4" s="1"/>
  <c r="BN3" i="4"/>
  <c r="BN4" i="4" s="1"/>
  <c r="BN5" i="4" s="1"/>
  <c r="BN6" i="4" s="1"/>
  <c r="BN7" i="4" s="1"/>
  <c r="BN8" i="4" s="1"/>
  <c r="BN9" i="4" s="1"/>
  <c r="BN10" i="4" s="1"/>
  <c r="BN11" i="4" s="1"/>
  <c r="BN12" i="4" s="1"/>
  <c r="BN13" i="4" s="1"/>
  <c r="BN14" i="4" s="1"/>
  <c r="BN15" i="4" s="1"/>
  <c r="BN16" i="4" s="1"/>
  <c r="BN17" i="4" s="1"/>
  <c r="BN18" i="4" s="1"/>
  <c r="BN19" i="4" s="1"/>
  <c r="BN20" i="4" s="1"/>
  <c r="BN21" i="4" s="1"/>
  <c r="BN22" i="4" s="1"/>
  <c r="BN23" i="4" s="1"/>
  <c r="BN24" i="4" s="1"/>
  <c r="BN26" i="4" s="1"/>
  <c r="BN27" i="4" s="1"/>
  <c r="BM3" i="4"/>
  <c r="BM4" i="4" s="1"/>
  <c r="BM5" i="4" s="1"/>
  <c r="BM6" i="4" s="1"/>
  <c r="BM7" i="4" s="1"/>
  <c r="BM8" i="4" s="1"/>
  <c r="BM9" i="4" s="1"/>
  <c r="BM10" i="4" s="1"/>
  <c r="BM11" i="4" s="1"/>
  <c r="BM12" i="4" s="1"/>
  <c r="BM13" i="4" s="1"/>
  <c r="BM14" i="4" s="1"/>
  <c r="BM15" i="4" s="1"/>
  <c r="BM16" i="4" s="1"/>
  <c r="BM17" i="4" s="1"/>
  <c r="BM18" i="4" s="1"/>
  <c r="BM19" i="4" s="1"/>
  <c r="BM20" i="4" s="1"/>
  <c r="BM21" i="4" s="1"/>
  <c r="BM22" i="4" s="1"/>
  <c r="BM23" i="4" s="1"/>
  <c r="BM24" i="4" s="1"/>
  <c r="BM26" i="4" s="1"/>
  <c r="BM27" i="4" s="1"/>
  <c r="BL3" i="4"/>
  <c r="BL4" i="4" s="1"/>
  <c r="BL5" i="4" s="1"/>
  <c r="BL6" i="4" s="1"/>
  <c r="BL7" i="4" s="1"/>
  <c r="BL8" i="4" s="1"/>
  <c r="BL9" i="4" s="1"/>
  <c r="BL10" i="4" s="1"/>
  <c r="BL11" i="4" s="1"/>
  <c r="BL12" i="4" s="1"/>
  <c r="BL13" i="4" s="1"/>
  <c r="BL14" i="4" s="1"/>
  <c r="BL15" i="4" s="1"/>
  <c r="BL16" i="4" s="1"/>
  <c r="BL17" i="4" s="1"/>
  <c r="BL18" i="4" s="1"/>
  <c r="BL19" i="4" s="1"/>
  <c r="BL20" i="4" s="1"/>
  <c r="BL21" i="4" s="1"/>
  <c r="BL22" i="4" s="1"/>
  <c r="BL23" i="4" s="1"/>
  <c r="BL24" i="4" s="1"/>
  <c r="BL26" i="4" s="1"/>
  <c r="BL27" i="4" s="1"/>
  <c r="BK3" i="4"/>
  <c r="BJ3" i="4"/>
  <c r="BJ4" i="4" s="1"/>
  <c r="BJ5" i="4" s="1"/>
  <c r="BJ6" i="4" s="1"/>
  <c r="BJ7" i="4" s="1"/>
  <c r="BJ8" i="4" s="1"/>
  <c r="BJ9" i="4" s="1"/>
  <c r="BJ10" i="4" s="1"/>
  <c r="BJ11" i="4" s="1"/>
  <c r="BJ12" i="4" s="1"/>
  <c r="BJ13" i="4" s="1"/>
  <c r="BJ14" i="4" s="1"/>
  <c r="BJ15" i="4" s="1"/>
  <c r="BJ16" i="4" s="1"/>
  <c r="BJ17" i="4" s="1"/>
  <c r="BJ18" i="4" s="1"/>
  <c r="BJ19" i="4" s="1"/>
  <c r="BJ20" i="4" s="1"/>
  <c r="BJ21" i="4" s="1"/>
  <c r="BJ22" i="4" s="1"/>
  <c r="BJ23" i="4" s="1"/>
  <c r="BJ24" i="4" s="1"/>
  <c r="BJ26" i="4" s="1"/>
  <c r="BJ27" i="4" s="1"/>
  <c r="BI3" i="4"/>
  <c r="BI4" i="4" s="1"/>
  <c r="BI5" i="4" s="1"/>
  <c r="BI6" i="4" s="1"/>
  <c r="BI7" i="4" s="1"/>
  <c r="BI8" i="4" s="1"/>
  <c r="BI9" i="4" s="1"/>
  <c r="BI10" i="4" s="1"/>
  <c r="BI11" i="4" s="1"/>
  <c r="BI12" i="4" s="1"/>
  <c r="BI13" i="4" s="1"/>
  <c r="BI14" i="4" s="1"/>
  <c r="BI15" i="4" s="1"/>
  <c r="BI16" i="4" s="1"/>
  <c r="BI17" i="4" s="1"/>
  <c r="BI18" i="4" s="1"/>
  <c r="BI19" i="4" s="1"/>
  <c r="BI20" i="4" s="1"/>
  <c r="BI21" i="4" s="1"/>
  <c r="BI22" i="4" s="1"/>
  <c r="BI23" i="4" s="1"/>
  <c r="BI24" i="4" s="1"/>
  <c r="BI26" i="4" s="1"/>
  <c r="BI27" i="4" s="1"/>
  <c r="BH3" i="4"/>
  <c r="BH4" i="4" s="1"/>
  <c r="BH5" i="4" s="1"/>
  <c r="BH6" i="4" s="1"/>
  <c r="BH7" i="4" s="1"/>
  <c r="BH8" i="4" s="1"/>
  <c r="BH9" i="4" s="1"/>
  <c r="BH10" i="4" s="1"/>
  <c r="BH11" i="4" s="1"/>
  <c r="BH12" i="4" s="1"/>
  <c r="BH13" i="4" s="1"/>
  <c r="BH14" i="4" s="1"/>
  <c r="BH15" i="4" s="1"/>
  <c r="BH16" i="4" s="1"/>
  <c r="BH17" i="4" s="1"/>
  <c r="BH18" i="4" s="1"/>
  <c r="BH19" i="4" s="1"/>
  <c r="BH20" i="4" s="1"/>
  <c r="BH21" i="4" s="1"/>
  <c r="BH22" i="4" s="1"/>
  <c r="BH23" i="4" s="1"/>
  <c r="BH24" i="4" s="1"/>
  <c r="BH26" i="4" s="1"/>
  <c r="BH27" i="4" s="1"/>
  <c r="BG3" i="4"/>
  <c r="BG4" i="4" s="1"/>
  <c r="BG5" i="4" s="1"/>
  <c r="BG6" i="4" s="1"/>
  <c r="BG7" i="4" s="1"/>
  <c r="BG8" i="4" s="1"/>
  <c r="BG9" i="4" s="1"/>
  <c r="BG10" i="4" s="1"/>
  <c r="BG11" i="4" s="1"/>
  <c r="BG12" i="4" s="1"/>
  <c r="BG13" i="4" s="1"/>
  <c r="BG14" i="4" s="1"/>
  <c r="BG15" i="4" s="1"/>
  <c r="BG16" i="4" s="1"/>
  <c r="BG17" i="4" s="1"/>
  <c r="BG18" i="4" s="1"/>
  <c r="BG19" i="4" s="1"/>
  <c r="BG20" i="4" s="1"/>
  <c r="BG21" i="4" s="1"/>
  <c r="BG22" i="4" s="1"/>
  <c r="BG23" i="4" s="1"/>
  <c r="BG24" i="4" s="1"/>
  <c r="BG26" i="4" s="1"/>
  <c r="BG27" i="4" s="1"/>
  <c r="BF3" i="4"/>
  <c r="BF4" i="4" s="1"/>
  <c r="BF5" i="4" s="1"/>
  <c r="BF6" i="4" s="1"/>
  <c r="BF7" i="4" s="1"/>
  <c r="BF8" i="4" s="1"/>
  <c r="BF9" i="4" s="1"/>
  <c r="BF10" i="4" s="1"/>
  <c r="BF11" i="4" s="1"/>
  <c r="BF12" i="4" s="1"/>
  <c r="BF13" i="4" s="1"/>
  <c r="BF14" i="4" s="1"/>
  <c r="BF15" i="4" s="1"/>
  <c r="BF16" i="4" s="1"/>
  <c r="BF17" i="4" s="1"/>
  <c r="BF18" i="4" s="1"/>
  <c r="BF19" i="4" s="1"/>
  <c r="BF20" i="4" s="1"/>
  <c r="BF21" i="4" s="1"/>
  <c r="BF22" i="4" s="1"/>
  <c r="BF23" i="4" s="1"/>
  <c r="BF24" i="4" s="1"/>
  <c r="BF26" i="4" s="1"/>
  <c r="BF27" i="4" s="1"/>
  <c r="BE3" i="4"/>
  <c r="BE4" i="4" s="1"/>
  <c r="BE5" i="4" s="1"/>
  <c r="BE6" i="4" s="1"/>
  <c r="BE7" i="4" s="1"/>
  <c r="BE8" i="4" s="1"/>
  <c r="BE9" i="4" s="1"/>
  <c r="BE10" i="4" s="1"/>
  <c r="BE11" i="4" s="1"/>
  <c r="BE12" i="4" s="1"/>
  <c r="BE13" i="4" s="1"/>
  <c r="BE14" i="4" s="1"/>
  <c r="BE15" i="4" s="1"/>
  <c r="BE16" i="4" s="1"/>
  <c r="BE17" i="4" s="1"/>
  <c r="BE18" i="4" s="1"/>
  <c r="BE19" i="4" s="1"/>
  <c r="BE20" i="4" s="1"/>
  <c r="BE21" i="4" s="1"/>
  <c r="BE22" i="4" s="1"/>
  <c r="BE23" i="4" s="1"/>
  <c r="BE24" i="4" s="1"/>
  <c r="BE26" i="4" s="1"/>
  <c r="BE27" i="4" s="1"/>
  <c r="BD3" i="4"/>
  <c r="BD4" i="4" s="1"/>
  <c r="BD5" i="4" s="1"/>
  <c r="BD6" i="4" s="1"/>
  <c r="BD7" i="4" s="1"/>
  <c r="BD8" i="4" s="1"/>
  <c r="BD9" i="4" s="1"/>
  <c r="BD10" i="4" s="1"/>
  <c r="BD11" i="4" s="1"/>
  <c r="BD12" i="4" s="1"/>
  <c r="BD13" i="4" s="1"/>
  <c r="BD14" i="4" s="1"/>
  <c r="BD15" i="4" s="1"/>
  <c r="BD16" i="4" s="1"/>
  <c r="BD17" i="4" s="1"/>
  <c r="BD18" i="4" s="1"/>
  <c r="BD19" i="4" s="1"/>
  <c r="BD20" i="4" s="1"/>
  <c r="BD21" i="4" s="1"/>
  <c r="BD22" i="4" s="1"/>
  <c r="BD23" i="4" s="1"/>
  <c r="BD24" i="4" s="1"/>
  <c r="BD26" i="4" s="1"/>
  <c r="BD27" i="4" s="1"/>
  <c r="BC3" i="4"/>
  <c r="BC4" i="4" s="1"/>
  <c r="BC5" i="4" s="1"/>
  <c r="BC6" i="4" s="1"/>
  <c r="BC7" i="4" s="1"/>
  <c r="BC8" i="4" s="1"/>
  <c r="BC9" i="4" s="1"/>
  <c r="BC10" i="4" s="1"/>
  <c r="BC11" i="4" s="1"/>
  <c r="BC12" i="4" s="1"/>
  <c r="BC13" i="4" s="1"/>
  <c r="BC14" i="4" s="1"/>
  <c r="BC15" i="4" s="1"/>
  <c r="BC16" i="4" s="1"/>
  <c r="BC17" i="4" s="1"/>
  <c r="BC18" i="4" s="1"/>
  <c r="BC19" i="4" s="1"/>
  <c r="BC20" i="4" s="1"/>
  <c r="BC21" i="4" s="1"/>
  <c r="BC22" i="4" s="1"/>
  <c r="BC23" i="4" s="1"/>
  <c r="BC24" i="4" s="1"/>
  <c r="BC26" i="4" s="1"/>
  <c r="BC27" i="4" s="1"/>
  <c r="BB3" i="4"/>
  <c r="BB4" i="4" s="1"/>
  <c r="BB5" i="4" s="1"/>
  <c r="BB6" i="4" s="1"/>
  <c r="BB7" i="4" s="1"/>
  <c r="BB8" i="4" s="1"/>
  <c r="BB9" i="4" s="1"/>
  <c r="BB10" i="4" s="1"/>
  <c r="BB11" i="4" s="1"/>
  <c r="BB12" i="4" s="1"/>
  <c r="BB13" i="4" s="1"/>
  <c r="BB14" i="4" s="1"/>
  <c r="BB15" i="4" s="1"/>
  <c r="BB16" i="4" s="1"/>
  <c r="BB17" i="4" s="1"/>
  <c r="BB18" i="4" s="1"/>
  <c r="BB19" i="4" s="1"/>
  <c r="BB20" i="4" s="1"/>
  <c r="BB21" i="4" s="1"/>
  <c r="BB22" i="4" s="1"/>
  <c r="BB23" i="4" s="1"/>
  <c r="BB24" i="4" s="1"/>
  <c r="BB26" i="4" s="1"/>
  <c r="BB27" i="4" s="1"/>
  <c r="BA3" i="4"/>
  <c r="BA4" i="4" s="1"/>
  <c r="BA5" i="4" s="1"/>
  <c r="BA6" i="4" s="1"/>
  <c r="BA7" i="4" s="1"/>
  <c r="BA8" i="4" s="1"/>
  <c r="BA9" i="4" s="1"/>
  <c r="BA10" i="4" s="1"/>
  <c r="BA11" i="4" s="1"/>
  <c r="BA12" i="4" s="1"/>
  <c r="BA13" i="4" s="1"/>
  <c r="BA14" i="4" s="1"/>
  <c r="BA15" i="4" s="1"/>
  <c r="BA16" i="4" s="1"/>
  <c r="BA17" i="4" s="1"/>
  <c r="BA18" i="4" s="1"/>
  <c r="BA19" i="4" s="1"/>
  <c r="BA20" i="4" s="1"/>
  <c r="BA21" i="4" s="1"/>
  <c r="BA22" i="4" s="1"/>
  <c r="BA23" i="4" s="1"/>
  <c r="BA24" i="4" s="1"/>
  <c r="BA26" i="4" s="1"/>
  <c r="BA27" i="4" s="1"/>
  <c r="AZ3" i="4"/>
  <c r="AZ4" i="4" s="1"/>
  <c r="AZ5" i="4" s="1"/>
  <c r="AZ6" i="4" s="1"/>
  <c r="AZ7" i="4" s="1"/>
  <c r="AZ8" i="4" s="1"/>
  <c r="AZ9" i="4" s="1"/>
  <c r="AZ10" i="4" s="1"/>
  <c r="AZ11" i="4" s="1"/>
  <c r="AZ12" i="4" s="1"/>
  <c r="AZ13" i="4" s="1"/>
  <c r="AZ14" i="4" s="1"/>
  <c r="AZ15" i="4" s="1"/>
  <c r="AZ16" i="4" s="1"/>
  <c r="AZ17" i="4" s="1"/>
  <c r="AZ18" i="4" s="1"/>
  <c r="AZ19" i="4" s="1"/>
  <c r="AZ20" i="4" s="1"/>
  <c r="AZ21" i="4" s="1"/>
  <c r="AZ22" i="4" s="1"/>
  <c r="AZ23" i="4" s="1"/>
  <c r="AZ24" i="4" s="1"/>
  <c r="AZ26" i="4" s="1"/>
  <c r="AZ27" i="4" s="1"/>
  <c r="AY3" i="4"/>
  <c r="AX3" i="4"/>
  <c r="AX4" i="4" s="1"/>
  <c r="AX5" i="4" s="1"/>
  <c r="AX6" i="4" s="1"/>
  <c r="AX7" i="4" s="1"/>
  <c r="AX8" i="4" s="1"/>
  <c r="AX9" i="4" s="1"/>
  <c r="AX10" i="4" s="1"/>
  <c r="AX11" i="4" s="1"/>
  <c r="AX12" i="4" s="1"/>
  <c r="AX13" i="4" s="1"/>
  <c r="AX14" i="4" s="1"/>
  <c r="AX15" i="4" s="1"/>
  <c r="AX16" i="4" s="1"/>
  <c r="AX17" i="4" s="1"/>
  <c r="AX18" i="4" s="1"/>
  <c r="AX19" i="4" s="1"/>
  <c r="AX20" i="4" s="1"/>
  <c r="AX21" i="4" s="1"/>
  <c r="AX22" i="4" s="1"/>
  <c r="AX23" i="4" s="1"/>
  <c r="AX24" i="4" s="1"/>
  <c r="AX26" i="4" s="1"/>
  <c r="AX27" i="4" s="1"/>
  <c r="AW3" i="4"/>
  <c r="AW4" i="4" s="1"/>
  <c r="AW5" i="4" s="1"/>
  <c r="AW6" i="4" s="1"/>
  <c r="AW7" i="4" s="1"/>
  <c r="AW8" i="4" s="1"/>
  <c r="AW9" i="4" s="1"/>
  <c r="AW10" i="4" s="1"/>
  <c r="AW11" i="4" s="1"/>
  <c r="AW12" i="4" s="1"/>
  <c r="AW13" i="4" s="1"/>
  <c r="AW14" i="4" s="1"/>
  <c r="AW15" i="4" s="1"/>
  <c r="AW16" i="4" s="1"/>
  <c r="AW17" i="4" s="1"/>
  <c r="AW18" i="4" s="1"/>
  <c r="AW19" i="4" s="1"/>
  <c r="AW20" i="4" s="1"/>
  <c r="AW21" i="4" s="1"/>
  <c r="AW22" i="4" s="1"/>
  <c r="AW23" i="4" s="1"/>
  <c r="AW24" i="4" s="1"/>
  <c r="AW26" i="4" s="1"/>
  <c r="AW27" i="4" s="1"/>
  <c r="AV3" i="4"/>
  <c r="AV4" i="4" s="1"/>
  <c r="AV5" i="4" s="1"/>
  <c r="AV6" i="4" s="1"/>
  <c r="AV7" i="4" s="1"/>
  <c r="AV8" i="4" s="1"/>
  <c r="AV9" i="4" s="1"/>
  <c r="AV10" i="4" s="1"/>
  <c r="AV11" i="4" s="1"/>
  <c r="AV12" i="4" s="1"/>
  <c r="AV13" i="4" s="1"/>
  <c r="AV14" i="4" s="1"/>
  <c r="AV15" i="4" s="1"/>
  <c r="AV16" i="4" s="1"/>
  <c r="AV17" i="4" s="1"/>
  <c r="AV18" i="4" s="1"/>
  <c r="AV19" i="4" s="1"/>
  <c r="AV20" i="4" s="1"/>
  <c r="AV21" i="4" s="1"/>
  <c r="AV22" i="4" s="1"/>
  <c r="AV23" i="4" s="1"/>
  <c r="AV24" i="4" s="1"/>
  <c r="AV26" i="4" s="1"/>
  <c r="AV27" i="4" s="1"/>
  <c r="AU3" i="4"/>
  <c r="AU4" i="4" s="1"/>
  <c r="AU5" i="4" s="1"/>
  <c r="AU6" i="4" s="1"/>
  <c r="AU7" i="4" s="1"/>
  <c r="AU8" i="4" s="1"/>
  <c r="AU9" i="4" s="1"/>
  <c r="AU10" i="4" s="1"/>
  <c r="AU11" i="4" s="1"/>
  <c r="AU12" i="4" s="1"/>
  <c r="AU13" i="4" s="1"/>
  <c r="AU14" i="4" s="1"/>
  <c r="AU15" i="4" s="1"/>
  <c r="AU16" i="4" s="1"/>
  <c r="AU17" i="4" s="1"/>
  <c r="AU18" i="4" s="1"/>
  <c r="AU19" i="4" s="1"/>
  <c r="AU20" i="4" s="1"/>
  <c r="AU21" i="4" s="1"/>
  <c r="AU22" i="4" s="1"/>
  <c r="AU23" i="4" s="1"/>
  <c r="AU24" i="4" s="1"/>
  <c r="AU26" i="4" s="1"/>
  <c r="AU27" i="4" s="1"/>
  <c r="AT3" i="4"/>
  <c r="AT4" i="4" s="1"/>
  <c r="AT5" i="4" s="1"/>
  <c r="AT6" i="4" s="1"/>
  <c r="AT7" i="4" s="1"/>
  <c r="AT8" i="4" s="1"/>
  <c r="AT9" i="4" s="1"/>
  <c r="AT10" i="4" s="1"/>
  <c r="AT11" i="4" s="1"/>
  <c r="AT12" i="4" s="1"/>
  <c r="AT13" i="4" s="1"/>
  <c r="AT14" i="4" s="1"/>
  <c r="AT15" i="4" s="1"/>
  <c r="AT16" i="4" s="1"/>
  <c r="AT17" i="4" s="1"/>
  <c r="AT18" i="4" s="1"/>
  <c r="AT19" i="4" s="1"/>
  <c r="AT20" i="4" s="1"/>
  <c r="AT21" i="4" s="1"/>
  <c r="AT22" i="4" s="1"/>
  <c r="AT23" i="4" s="1"/>
  <c r="AT24" i="4" s="1"/>
  <c r="AT26" i="4" s="1"/>
  <c r="AT27" i="4" s="1"/>
  <c r="AS3" i="4"/>
  <c r="AS4" i="4" s="1"/>
  <c r="AS5" i="4" s="1"/>
  <c r="AS6" i="4" s="1"/>
  <c r="AS7" i="4" s="1"/>
  <c r="AS8" i="4" s="1"/>
  <c r="AS9" i="4" s="1"/>
  <c r="AS10" i="4" s="1"/>
  <c r="AS11" i="4" s="1"/>
  <c r="AS12" i="4" s="1"/>
  <c r="AS13" i="4" s="1"/>
  <c r="AS14" i="4" s="1"/>
  <c r="AS15" i="4" s="1"/>
  <c r="AS16" i="4" s="1"/>
  <c r="AS17" i="4" s="1"/>
  <c r="AS18" i="4" s="1"/>
  <c r="AS19" i="4" s="1"/>
  <c r="AS20" i="4" s="1"/>
  <c r="AS21" i="4" s="1"/>
  <c r="AS22" i="4" s="1"/>
  <c r="AS23" i="4" s="1"/>
  <c r="AS24" i="4" s="1"/>
  <c r="AS26" i="4" s="1"/>
  <c r="AS27" i="4" s="1"/>
  <c r="AR3" i="4"/>
  <c r="AR4" i="4" s="1"/>
  <c r="AR5" i="4" s="1"/>
  <c r="AR6" i="4" s="1"/>
  <c r="AR7" i="4" s="1"/>
  <c r="AR8" i="4" s="1"/>
  <c r="AR9" i="4" s="1"/>
  <c r="AR10" i="4" s="1"/>
  <c r="AR11" i="4" s="1"/>
  <c r="AR12" i="4" s="1"/>
  <c r="AR13" i="4" s="1"/>
  <c r="AR14" i="4" s="1"/>
  <c r="AR15" i="4" s="1"/>
  <c r="AR16" i="4" s="1"/>
  <c r="AR17" i="4" s="1"/>
  <c r="AR18" i="4" s="1"/>
  <c r="AR19" i="4" s="1"/>
  <c r="AR20" i="4" s="1"/>
  <c r="AR21" i="4" s="1"/>
  <c r="AR22" i="4" s="1"/>
  <c r="AR23" i="4" s="1"/>
  <c r="AR24" i="4" s="1"/>
  <c r="AR26" i="4" s="1"/>
  <c r="AR27" i="4" s="1"/>
  <c r="AQ3" i="4"/>
  <c r="AQ4" i="4" s="1"/>
  <c r="AQ5" i="4" s="1"/>
  <c r="AQ6" i="4" s="1"/>
  <c r="AQ7" i="4" s="1"/>
  <c r="AQ8" i="4" s="1"/>
  <c r="AQ9" i="4" s="1"/>
  <c r="AQ10" i="4" s="1"/>
  <c r="AQ11" i="4" s="1"/>
  <c r="AQ12" i="4" s="1"/>
  <c r="AQ13" i="4" s="1"/>
  <c r="AQ14" i="4" s="1"/>
  <c r="AQ15" i="4" s="1"/>
  <c r="AQ16" i="4" s="1"/>
  <c r="AQ17" i="4" s="1"/>
  <c r="AQ18" i="4" s="1"/>
  <c r="AQ19" i="4" s="1"/>
  <c r="AQ20" i="4" s="1"/>
  <c r="AQ21" i="4" s="1"/>
  <c r="AQ22" i="4" s="1"/>
  <c r="AQ23" i="4" s="1"/>
  <c r="AQ24" i="4" s="1"/>
  <c r="AQ26" i="4" s="1"/>
  <c r="AQ27" i="4" s="1"/>
  <c r="AP3" i="4"/>
  <c r="AP4" i="4" s="1"/>
  <c r="AP5" i="4" s="1"/>
  <c r="AP6" i="4" s="1"/>
  <c r="AP7" i="4" s="1"/>
  <c r="AP8" i="4" s="1"/>
  <c r="AP9" i="4" s="1"/>
  <c r="AP10" i="4" s="1"/>
  <c r="AP11" i="4" s="1"/>
  <c r="AP12" i="4" s="1"/>
  <c r="AP13" i="4" s="1"/>
  <c r="AP14" i="4" s="1"/>
  <c r="AP15" i="4" s="1"/>
  <c r="AP16" i="4" s="1"/>
  <c r="AP17" i="4" s="1"/>
  <c r="AP18" i="4" s="1"/>
  <c r="AP19" i="4" s="1"/>
  <c r="AP20" i="4" s="1"/>
  <c r="AP21" i="4" s="1"/>
  <c r="AP22" i="4" s="1"/>
  <c r="AP23" i="4" s="1"/>
  <c r="AP24" i="4" s="1"/>
  <c r="AP26" i="4" s="1"/>
  <c r="AP27" i="4" s="1"/>
  <c r="AO3" i="4"/>
  <c r="AO4" i="4" s="1"/>
  <c r="AO5" i="4" s="1"/>
  <c r="AO6" i="4" s="1"/>
  <c r="AO7" i="4" s="1"/>
  <c r="AO8" i="4" s="1"/>
  <c r="AO9" i="4" s="1"/>
  <c r="AO10" i="4" s="1"/>
  <c r="AO11" i="4" s="1"/>
  <c r="AO12" i="4" s="1"/>
  <c r="AO13" i="4" s="1"/>
  <c r="AO14" i="4" s="1"/>
  <c r="AO15" i="4" s="1"/>
  <c r="AO16" i="4" s="1"/>
  <c r="AO17" i="4" s="1"/>
  <c r="AO18" i="4" s="1"/>
  <c r="AO19" i="4" s="1"/>
  <c r="AO20" i="4" s="1"/>
  <c r="AO21" i="4" s="1"/>
  <c r="AO22" i="4" s="1"/>
  <c r="AO23" i="4" s="1"/>
  <c r="AO24" i="4" s="1"/>
  <c r="AO26" i="4" s="1"/>
  <c r="AO27" i="4" s="1"/>
  <c r="AN3" i="4"/>
  <c r="AN4" i="4" s="1"/>
  <c r="AN5" i="4" s="1"/>
  <c r="AN6" i="4" s="1"/>
  <c r="AN7" i="4" s="1"/>
  <c r="AN8" i="4" s="1"/>
  <c r="AN9" i="4" s="1"/>
  <c r="AN10" i="4" s="1"/>
  <c r="AN11" i="4" s="1"/>
  <c r="AN12" i="4" s="1"/>
  <c r="AN13" i="4" s="1"/>
  <c r="AN14" i="4" s="1"/>
  <c r="AN15" i="4" s="1"/>
  <c r="AN16" i="4" s="1"/>
  <c r="AN17" i="4" s="1"/>
  <c r="AN18" i="4" s="1"/>
  <c r="AN19" i="4" s="1"/>
  <c r="AN20" i="4" s="1"/>
  <c r="AN21" i="4" s="1"/>
  <c r="AN22" i="4" s="1"/>
  <c r="AN23" i="4" s="1"/>
  <c r="AN24" i="4" s="1"/>
  <c r="AN26" i="4" s="1"/>
  <c r="AN27" i="4" s="1"/>
  <c r="AM3" i="4"/>
  <c r="AL3" i="4"/>
  <c r="AL4" i="4" s="1"/>
  <c r="AL5" i="4" s="1"/>
  <c r="AL6" i="4" s="1"/>
  <c r="AL7" i="4" s="1"/>
  <c r="AL8" i="4" s="1"/>
  <c r="AL9" i="4" s="1"/>
  <c r="AL10" i="4" s="1"/>
  <c r="AL11" i="4" s="1"/>
  <c r="AL12" i="4" s="1"/>
  <c r="AL13" i="4" s="1"/>
  <c r="AL14" i="4" s="1"/>
  <c r="AL15" i="4" s="1"/>
  <c r="AL16" i="4" s="1"/>
  <c r="AL17" i="4" s="1"/>
  <c r="AL18" i="4" s="1"/>
  <c r="AL19" i="4" s="1"/>
  <c r="AL20" i="4" s="1"/>
  <c r="AL21" i="4" s="1"/>
  <c r="AL22" i="4" s="1"/>
  <c r="AL23" i="4" s="1"/>
  <c r="AL24" i="4" s="1"/>
  <c r="AL26" i="4" s="1"/>
  <c r="AL27" i="4" s="1"/>
  <c r="AK3" i="4"/>
  <c r="AK4" i="4" s="1"/>
  <c r="AK5" i="4" s="1"/>
  <c r="AK6" i="4" s="1"/>
  <c r="AK7" i="4" s="1"/>
  <c r="AK8" i="4" s="1"/>
  <c r="AK9" i="4" s="1"/>
  <c r="AK10" i="4" s="1"/>
  <c r="AK11" i="4" s="1"/>
  <c r="AK12" i="4" s="1"/>
  <c r="AK13" i="4" s="1"/>
  <c r="AK14" i="4" s="1"/>
  <c r="AK15" i="4" s="1"/>
  <c r="AK16" i="4" s="1"/>
  <c r="AK17" i="4" s="1"/>
  <c r="AK18" i="4" s="1"/>
  <c r="AK19" i="4" s="1"/>
  <c r="AK20" i="4" s="1"/>
  <c r="AK21" i="4" s="1"/>
  <c r="AK22" i="4" s="1"/>
  <c r="AK23" i="4" s="1"/>
  <c r="AK24" i="4" s="1"/>
  <c r="AK26" i="4" s="1"/>
  <c r="AK27" i="4" s="1"/>
  <c r="AJ3" i="4"/>
  <c r="AJ4" i="4" s="1"/>
  <c r="AJ5" i="4" s="1"/>
  <c r="AJ6" i="4" s="1"/>
  <c r="AJ7" i="4" s="1"/>
  <c r="AJ8" i="4" s="1"/>
  <c r="AJ9" i="4" s="1"/>
  <c r="AJ10" i="4" s="1"/>
  <c r="AJ11" i="4" s="1"/>
  <c r="AJ12" i="4" s="1"/>
  <c r="AJ13" i="4" s="1"/>
  <c r="AJ14" i="4" s="1"/>
  <c r="AJ15" i="4" s="1"/>
  <c r="AJ16" i="4" s="1"/>
  <c r="AJ17" i="4" s="1"/>
  <c r="AJ18" i="4" s="1"/>
  <c r="AJ19" i="4" s="1"/>
  <c r="AJ20" i="4" s="1"/>
  <c r="AJ21" i="4" s="1"/>
  <c r="AJ22" i="4" s="1"/>
  <c r="AJ23" i="4" s="1"/>
  <c r="AJ24" i="4" s="1"/>
  <c r="AJ26" i="4" s="1"/>
  <c r="AJ27" i="4" s="1"/>
  <c r="AI3" i="4"/>
  <c r="AI4" i="4" s="1"/>
  <c r="AI5" i="4" s="1"/>
  <c r="AI6" i="4" s="1"/>
  <c r="AI7" i="4" s="1"/>
  <c r="AI8" i="4" s="1"/>
  <c r="AI9" i="4" s="1"/>
  <c r="AI10" i="4" s="1"/>
  <c r="AI11" i="4" s="1"/>
  <c r="AI12" i="4" s="1"/>
  <c r="AI13" i="4" s="1"/>
  <c r="AI14" i="4" s="1"/>
  <c r="AI15" i="4" s="1"/>
  <c r="AI16" i="4" s="1"/>
  <c r="AI17" i="4" s="1"/>
  <c r="AI18" i="4" s="1"/>
  <c r="AI19" i="4" s="1"/>
  <c r="AI20" i="4" s="1"/>
  <c r="AI21" i="4" s="1"/>
  <c r="AI22" i="4" s="1"/>
  <c r="AI23" i="4" s="1"/>
  <c r="AI24" i="4" s="1"/>
  <c r="AI26" i="4" s="1"/>
  <c r="AI27" i="4" s="1"/>
  <c r="AH3" i="4"/>
  <c r="AH4" i="4" s="1"/>
  <c r="AH5" i="4" s="1"/>
  <c r="AH6" i="4" s="1"/>
  <c r="AH7" i="4" s="1"/>
  <c r="AH8" i="4" s="1"/>
  <c r="AH9" i="4" s="1"/>
  <c r="AH10" i="4" s="1"/>
  <c r="AH11" i="4" s="1"/>
  <c r="AH12" i="4" s="1"/>
  <c r="AH13" i="4" s="1"/>
  <c r="AH14" i="4" s="1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6" i="4" s="1"/>
  <c r="AH27" i="4" s="1"/>
  <c r="AG3" i="4"/>
  <c r="AG4" i="4" s="1"/>
  <c r="AG5" i="4" s="1"/>
  <c r="AG6" i="4" s="1"/>
  <c r="AG7" i="4" s="1"/>
  <c r="AG8" i="4" s="1"/>
  <c r="AG9" i="4" s="1"/>
  <c r="AG10" i="4" s="1"/>
  <c r="AG11" i="4" s="1"/>
  <c r="AG12" i="4" s="1"/>
  <c r="AG13" i="4" s="1"/>
  <c r="AG14" i="4" s="1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6" i="4" s="1"/>
  <c r="AG27" i="4" s="1"/>
  <c r="AF3" i="4"/>
  <c r="AF4" i="4" s="1"/>
  <c r="AF5" i="4" s="1"/>
  <c r="AF6" i="4" s="1"/>
  <c r="AF7" i="4" s="1"/>
  <c r="AF8" i="4" s="1"/>
  <c r="AF9" i="4" s="1"/>
  <c r="AF10" i="4" s="1"/>
  <c r="AF11" i="4" s="1"/>
  <c r="AF12" i="4" s="1"/>
  <c r="AF13" i="4" s="1"/>
  <c r="AF14" i="4" s="1"/>
  <c r="AF15" i="4" s="1"/>
  <c r="AF16" i="4" s="1"/>
  <c r="AF17" i="4" s="1"/>
  <c r="AF18" i="4" s="1"/>
  <c r="AF19" i="4" s="1"/>
  <c r="AF20" i="4" s="1"/>
  <c r="AF21" i="4" s="1"/>
  <c r="AF22" i="4" s="1"/>
  <c r="AF23" i="4" s="1"/>
  <c r="AF24" i="4" s="1"/>
  <c r="AF26" i="4" s="1"/>
  <c r="AF27" i="4" s="1"/>
  <c r="AE3" i="4"/>
  <c r="AE4" i="4" s="1"/>
  <c r="AE5" i="4" s="1"/>
  <c r="AE6" i="4" s="1"/>
  <c r="AE7" i="4" s="1"/>
  <c r="AE8" i="4" s="1"/>
  <c r="AE9" i="4" s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6" i="4" s="1"/>
  <c r="AE27" i="4" s="1"/>
  <c r="AD3" i="4"/>
  <c r="AD4" i="4" s="1"/>
  <c r="AD5" i="4" s="1"/>
  <c r="AD6" i="4" s="1"/>
  <c r="AD7" i="4" s="1"/>
  <c r="AD8" i="4" s="1"/>
  <c r="AD9" i="4" s="1"/>
  <c r="AD10" i="4" s="1"/>
  <c r="AD11" i="4" s="1"/>
  <c r="AD12" i="4" s="1"/>
  <c r="AD13" i="4" s="1"/>
  <c r="AD14" i="4" s="1"/>
  <c r="AD15" i="4" s="1"/>
  <c r="AD16" i="4" s="1"/>
  <c r="AD17" i="4" s="1"/>
  <c r="AD18" i="4" s="1"/>
  <c r="AD19" i="4" s="1"/>
  <c r="AD20" i="4" s="1"/>
  <c r="AD21" i="4" s="1"/>
  <c r="AD22" i="4" s="1"/>
  <c r="AD23" i="4" s="1"/>
  <c r="AD24" i="4" s="1"/>
  <c r="AD26" i="4" s="1"/>
  <c r="AD27" i="4" s="1"/>
  <c r="AC3" i="4"/>
  <c r="AC4" i="4" s="1"/>
  <c r="AC5" i="4" s="1"/>
  <c r="AC6" i="4" s="1"/>
  <c r="AC7" i="4" s="1"/>
  <c r="AC8" i="4" s="1"/>
  <c r="AC9" i="4" s="1"/>
  <c r="AC10" i="4" s="1"/>
  <c r="AC11" i="4" s="1"/>
  <c r="AC12" i="4" s="1"/>
  <c r="AC13" i="4" s="1"/>
  <c r="AC14" i="4" s="1"/>
  <c r="AC15" i="4" s="1"/>
  <c r="AC16" i="4" s="1"/>
  <c r="AC17" i="4" s="1"/>
  <c r="AC18" i="4" s="1"/>
  <c r="AC19" i="4" s="1"/>
  <c r="AC20" i="4" s="1"/>
  <c r="AC21" i="4" s="1"/>
  <c r="AC22" i="4" s="1"/>
  <c r="AC23" i="4" s="1"/>
  <c r="AC24" i="4" s="1"/>
  <c r="AC26" i="4" s="1"/>
  <c r="AC27" i="4" s="1"/>
  <c r="AB3" i="4"/>
  <c r="AB4" i="4" s="1"/>
  <c r="AB5" i="4" s="1"/>
  <c r="AB6" i="4" s="1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6" i="4" s="1"/>
  <c r="AB27" i="4" s="1"/>
  <c r="AA3" i="4"/>
  <c r="Z3" i="4"/>
  <c r="Z4" i="4" s="1"/>
  <c r="Z5" i="4" s="1"/>
  <c r="Z6" i="4" s="1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6" i="4" s="1"/>
  <c r="Z27" i="4" s="1"/>
  <c r="Y3" i="4"/>
  <c r="Y4" i="4" s="1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6" i="4" s="1"/>
  <c r="Y27" i="4" s="1"/>
  <c r="X3" i="4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6" i="4" s="1"/>
  <c r="X27" i="4" s="1"/>
  <c r="W3" i="4"/>
  <c r="W4" i="4" s="1"/>
  <c r="W5" i="4" s="1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6" i="4" s="1"/>
  <c r="W27" i="4" s="1"/>
  <c r="V3" i="4"/>
  <c r="V4" i="4" s="1"/>
  <c r="V5" i="4" s="1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6" i="4" s="1"/>
  <c r="V27" i="4" s="1"/>
  <c r="U3" i="4"/>
  <c r="U4" i="4" s="1"/>
  <c r="U5" i="4" s="1"/>
  <c r="U6" i="4" s="1"/>
  <c r="U7" i="4" s="1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6" i="4" s="1"/>
  <c r="U27" i="4" s="1"/>
  <c r="T3" i="4"/>
  <c r="T4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6" i="4" s="1"/>
  <c r="T27" i="4" s="1"/>
  <c r="S3" i="4"/>
  <c r="S4" i="4" s="1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6" i="4" s="1"/>
  <c r="S27" i="4" s="1"/>
  <c r="R3" i="4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6" i="4" s="1"/>
  <c r="R27" i="4" s="1"/>
  <c r="Q3" i="4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6" i="4" s="1"/>
  <c r="Q27" i="4" s="1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6" i="4" s="1"/>
  <c r="P27" i="4" s="1"/>
  <c r="O3" i="4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6" i="4" s="1"/>
  <c r="N27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6" i="4" s="1"/>
  <c r="M27" i="4" s="1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6" i="4" s="1"/>
  <c r="K27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6" i="4" s="1"/>
  <c r="L27" i="4" s="1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6" i="4" s="1"/>
  <c r="J27" i="4" s="1"/>
  <c r="J2" i="4"/>
  <c r="G5" i="4"/>
  <c r="G4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H1247" i="2"/>
  <c r="I1247" i="2" s="1"/>
  <c r="H1248" i="2"/>
  <c r="I1248" i="2" s="1"/>
  <c r="H1249" i="2"/>
  <c r="I1249" i="2" s="1"/>
  <c r="H1250" i="2"/>
  <c r="I1250" i="2" s="1"/>
  <c r="H1251" i="2"/>
  <c r="I1251" i="2" s="1"/>
  <c r="H1252" i="2"/>
  <c r="I1252" i="2" s="1"/>
  <c r="H1253" i="2"/>
  <c r="I1253" i="2" s="1"/>
  <c r="H1254" i="2"/>
  <c r="I1254" i="2" s="1"/>
  <c r="H1255" i="2"/>
  <c r="I1255" i="2" s="1"/>
  <c r="H1256" i="2"/>
  <c r="I1256" i="2" s="1"/>
  <c r="H1257" i="2"/>
  <c r="I1257" i="2" s="1"/>
  <c r="H1258" i="2"/>
  <c r="I1258" i="2" s="1"/>
  <c r="H1259" i="2"/>
  <c r="I1259" i="2" s="1"/>
  <c r="H1260" i="2"/>
  <c r="I1260" i="2" s="1"/>
  <c r="H1261" i="2"/>
  <c r="I1261" i="2" s="1"/>
  <c r="H1262" i="2"/>
  <c r="I1262" i="2" s="1"/>
  <c r="H1263" i="2"/>
  <c r="I1263" i="2" s="1"/>
  <c r="H1264" i="2"/>
  <c r="I1264" i="2" s="1"/>
  <c r="H1265" i="2"/>
  <c r="I1265" i="2" s="1"/>
  <c r="H1266" i="2"/>
  <c r="I1266" i="2" s="1"/>
  <c r="H1267" i="2"/>
  <c r="I1267" i="2" s="1"/>
  <c r="H1246" i="2"/>
  <c r="I1246" i="2" s="1"/>
  <c r="J1246" i="2" s="1"/>
  <c r="D1248" i="2"/>
  <c r="E1248" i="2" s="1"/>
  <c r="D1249" i="2"/>
  <c r="E1249" i="2" s="1"/>
  <c r="D1250" i="2"/>
  <c r="E1250" i="2" s="1"/>
  <c r="D1251" i="2"/>
  <c r="E1251" i="2" s="1"/>
  <c r="D1252" i="2"/>
  <c r="E1252" i="2" s="1"/>
  <c r="D1253" i="2"/>
  <c r="E1253" i="2" s="1"/>
  <c r="D1254" i="2"/>
  <c r="E1254" i="2" s="1"/>
  <c r="D1255" i="2"/>
  <c r="E1255" i="2" s="1"/>
  <c r="D1256" i="2"/>
  <c r="E1256" i="2" s="1"/>
  <c r="D1257" i="2"/>
  <c r="E1257" i="2" s="1"/>
  <c r="D1258" i="2"/>
  <c r="E1258" i="2" s="1"/>
  <c r="D1259" i="2"/>
  <c r="E1259" i="2" s="1"/>
  <c r="D1260" i="2"/>
  <c r="E1260" i="2" s="1"/>
  <c r="D1261" i="2"/>
  <c r="E1261" i="2" s="1"/>
  <c r="D1262" i="2"/>
  <c r="E1262" i="2" s="1"/>
  <c r="D1263" i="2"/>
  <c r="E1263" i="2" s="1"/>
  <c r="D1264" i="2"/>
  <c r="E1264" i="2" s="1"/>
  <c r="D1265" i="2"/>
  <c r="E1265" i="2" s="1"/>
  <c r="D1266" i="2"/>
  <c r="E1266" i="2" s="1"/>
  <c r="D1267" i="2"/>
  <c r="E1267" i="2" s="1"/>
  <c r="D1247" i="2"/>
  <c r="E1247" i="2" s="1"/>
  <c r="F1245" i="2"/>
  <c r="D1246" i="2"/>
  <c r="E1246" i="2" s="1"/>
  <c r="F1246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K36" i="4" l="1" a="1"/>
  <c r="K36" i="4" s="1"/>
  <c r="K37" i="4" s="1"/>
  <c r="K38" i="4" s="1"/>
  <c r="J36" i="4" a="1"/>
  <c r="J36" i="4" s="1"/>
  <c r="J37" i="4" s="1"/>
  <c r="J38" i="4" s="1"/>
  <c r="BF36" i="4" a="1"/>
  <c r="BF36" i="4" s="1"/>
  <c r="BF37" i="4" s="1"/>
  <c r="BF38" i="4" s="1"/>
  <c r="T36" i="4" a="1"/>
  <c r="T36" i="4" s="1"/>
  <c r="T37" i="4" s="1"/>
  <c r="T38" i="4" s="1"/>
  <c r="U36" i="4" a="1"/>
  <c r="U36" i="4" s="1"/>
  <c r="U37" i="4" s="1"/>
  <c r="U38" i="4" s="1"/>
  <c r="V36" i="4" a="1"/>
  <c r="V36" i="4" s="1"/>
  <c r="V37" i="4" s="1"/>
  <c r="V38" i="4" s="1"/>
  <c r="CC36" i="4" a="1"/>
  <c r="CC36" i="4" s="1"/>
  <c r="CC37" i="4" s="1"/>
  <c r="CC38" i="4" s="1"/>
  <c r="CD36" i="4" a="1"/>
  <c r="CD36" i="4" s="1"/>
  <c r="CD37" i="4" s="1"/>
  <c r="CD38" i="4" s="1"/>
  <c r="AH36" i="4" a="1"/>
  <c r="AH36" i="4" s="1"/>
  <c r="AH37" i="4" s="1"/>
  <c r="AH38" i="4" s="1"/>
  <c r="CN36" i="4" a="1"/>
  <c r="CN36" i="4" s="1"/>
  <c r="CN37" i="4" s="1"/>
  <c r="CN38" i="4" s="1"/>
  <c r="AR36" i="4" a="1"/>
  <c r="AR36" i="4" s="1"/>
  <c r="AR37" i="4" s="1"/>
  <c r="AR38" i="4" s="1"/>
  <c r="CO36" i="4" a="1"/>
  <c r="CO36" i="4" s="1"/>
  <c r="CO37" i="4" s="1"/>
  <c r="CO38" i="4" s="1"/>
  <c r="BQ36" i="4" a="1"/>
  <c r="BQ36" i="4" s="1"/>
  <c r="BQ37" i="4" s="1"/>
  <c r="BQ38" i="4" s="1"/>
  <c r="AS36" i="4" a="1"/>
  <c r="AS36" i="4" s="1"/>
  <c r="AS37" i="4" s="1"/>
  <c r="AS38" i="4" s="1"/>
  <c r="CP36" i="4" a="1"/>
  <c r="CP36" i="4" s="1"/>
  <c r="CP37" i="4" s="1"/>
  <c r="CP38" i="4" s="1"/>
  <c r="BR36" i="4" a="1"/>
  <c r="BR36" i="4" s="1"/>
  <c r="BR37" i="4" s="1"/>
  <c r="BR38" i="4" s="1"/>
  <c r="AT36" i="4" a="1"/>
  <c r="AT36" i="4" s="1"/>
  <c r="AT37" i="4" s="1"/>
  <c r="AT38" i="4" s="1"/>
  <c r="CZ36" i="4" a="1"/>
  <c r="CZ36" i="4" s="1"/>
  <c r="CZ37" i="4" s="1"/>
  <c r="CZ38" i="4" s="1"/>
  <c r="AF36" i="4" a="1"/>
  <c r="AF36" i="4" s="1"/>
  <c r="AF37" i="4" s="1"/>
  <c r="AF38" i="4" s="1"/>
  <c r="BD36" i="4" a="1"/>
  <c r="BD36" i="4" s="1"/>
  <c r="BD37" i="4" s="1"/>
  <c r="BD38" i="4" s="1"/>
  <c r="DA36" i="4" a="1"/>
  <c r="DA36" i="4" s="1"/>
  <c r="DA37" i="4" s="1"/>
  <c r="DA38" i="4" s="1"/>
  <c r="BP36" i="4" a="1"/>
  <c r="BP36" i="4" s="1"/>
  <c r="BP37" i="4" s="1"/>
  <c r="BP38" i="4" s="1"/>
  <c r="AG36" i="4" a="1"/>
  <c r="AG36" i="4" s="1"/>
  <c r="AG37" i="4" s="1"/>
  <c r="AG38" i="4" s="1"/>
  <c r="BE36" i="4" a="1"/>
  <c r="BE36" i="4" s="1"/>
  <c r="BE37" i="4" s="1"/>
  <c r="BE38" i="4" s="1"/>
  <c r="DB36" i="4" a="1"/>
  <c r="DB36" i="4" s="1"/>
  <c r="DB37" i="4" s="1"/>
  <c r="DB38" i="4" s="1"/>
  <c r="Q36" i="4" a="1"/>
  <c r="Q36" i="4" s="1"/>
  <c r="Q37" i="4" s="1"/>
  <c r="Q38" i="4" s="1"/>
  <c r="W36" i="4" a="1"/>
  <c r="W36" i="4" s="1"/>
  <c r="W37" i="4" s="1"/>
  <c r="W38" i="4" s="1"/>
  <c r="AC36" i="4" a="1"/>
  <c r="AC36" i="4" s="1"/>
  <c r="AC37" i="4" s="1"/>
  <c r="AC38" i="4" s="1"/>
  <c r="AI36" i="4" a="1"/>
  <c r="AI36" i="4" s="1"/>
  <c r="AI37" i="4" s="1"/>
  <c r="AI38" i="4" s="1"/>
  <c r="AO36" i="4" a="1"/>
  <c r="AO36" i="4" s="1"/>
  <c r="AO37" i="4" s="1"/>
  <c r="AO38" i="4" s="1"/>
  <c r="AU36" i="4" a="1"/>
  <c r="AU36" i="4" s="1"/>
  <c r="AU37" i="4" s="1"/>
  <c r="AU38" i="4" s="1"/>
  <c r="BA36" i="4" a="1"/>
  <c r="BA36" i="4" s="1"/>
  <c r="BA37" i="4" s="1"/>
  <c r="BA38" i="4" s="1"/>
  <c r="BG36" i="4" a="1"/>
  <c r="BG36" i="4" s="1"/>
  <c r="BG37" i="4" s="1"/>
  <c r="BG38" i="4" s="1"/>
  <c r="BM36" i="4" a="1"/>
  <c r="BM36" i="4" s="1"/>
  <c r="BM37" i="4" s="1"/>
  <c r="BM38" i="4" s="1"/>
  <c r="BS36" i="4" a="1"/>
  <c r="BS36" i="4" s="1"/>
  <c r="BS37" i="4" s="1"/>
  <c r="BS38" i="4" s="1"/>
  <c r="BY36" i="4" a="1"/>
  <c r="BY36" i="4" s="1"/>
  <c r="BY37" i="4" s="1"/>
  <c r="BY38" i="4" s="1"/>
  <c r="CE36" i="4" a="1"/>
  <c r="CE36" i="4" s="1"/>
  <c r="CE37" i="4" s="1"/>
  <c r="CE38" i="4" s="1"/>
  <c r="CK36" i="4" a="1"/>
  <c r="CK36" i="4" s="1"/>
  <c r="CK37" i="4" s="1"/>
  <c r="CK38" i="4" s="1"/>
  <c r="CQ36" i="4" a="1"/>
  <c r="CQ36" i="4" s="1"/>
  <c r="CQ37" i="4" s="1"/>
  <c r="CQ38" i="4" s="1"/>
  <c r="CW36" i="4" a="1"/>
  <c r="CW36" i="4" s="1"/>
  <c r="CW37" i="4" s="1"/>
  <c r="CW38" i="4" s="1"/>
  <c r="DC36" i="4" a="1"/>
  <c r="DC36" i="4" s="1"/>
  <c r="DC37" i="4" s="1"/>
  <c r="DC38" i="4" s="1"/>
  <c r="L36" i="4" a="1"/>
  <c r="L36" i="4" s="1"/>
  <c r="L37" i="4" s="1"/>
  <c r="L38" i="4" s="1"/>
  <c r="R36" i="4" a="1"/>
  <c r="R36" i="4" s="1"/>
  <c r="R37" i="4" s="1"/>
  <c r="R38" i="4" s="1"/>
  <c r="X36" i="4" a="1"/>
  <c r="X36" i="4" s="1"/>
  <c r="X37" i="4" s="1"/>
  <c r="X38" i="4" s="1"/>
  <c r="AD36" i="4" a="1"/>
  <c r="AD36" i="4" s="1"/>
  <c r="AD37" i="4" s="1"/>
  <c r="AD38" i="4" s="1"/>
  <c r="AJ36" i="4" a="1"/>
  <c r="AJ36" i="4" s="1"/>
  <c r="AJ37" i="4" s="1"/>
  <c r="AJ38" i="4" s="1"/>
  <c r="AP36" i="4" a="1"/>
  <c r="AP36" i="4" s="1"/>
  <c r="AP37" i="4" s="1"/>
  <c r="AP38" i="4" s="1"/>
  <c r="AV36" i="4" a="1"/>
  <c r="AV36" i="4" s="1"/>
  <c r="AV37" i="4" s="1"/>
  <c r="AV38" i="4" s="1"/>
  <c r="BB36" i="4" a="1"/>
  <c r="BB36" i="4" s="1"/>
  <c r="BB37" i="4" s="1"/>
  <c r="BB38" i="4" s="1"/>
  <c r="BH36" i="4" a="1"/>
  <c r="BH36" i="4" s="1"/>
  <c r="BH37" i="4" s="1"/>
  <c r="BH38" i="4" s="1"/>
  <c r="BN36" i="4" a="1"/>
  <c r="BN36" i="4" s="1"/>
  <c r="BN37" i="4" s="1"/>
  <c r="BN38" i="4" s="1"/>
  <c r="BT36" i="4" a="1"/>
  <c r="BT36" i="4" s="1"/>
  <c r="BT37" i="4" s="1"/>
  <c r="BT38" i="4" s="1"/>
  <c r="BZ36" i="4" a="1"/>
  <c r="BZ36" i="4" s="1"/>
  <c r="BZ37" i="4" s="1"/>
  <c r="BZ38" i="4" s="1"/>
  <c r="CF36" i="4" a="1"/>
  <c r="CF36" i="4" s="1"/>
  <c r="CF37" i="4" s="1"/>
  <c r="CF38" i="4" s="1"/>
  <c r="CL36" i="4" a="1"/>
  <c r="CL36" i="4" s="1"/>
  <c r="CL37" i="4" s="1"/>
  <c r="CL38" i="4" s="1"/>
  <c r="CR36" i="4" a="1"/>
  <c r="CR36" i="4" s="1"/>
  <c r="CR37" i="4" s="1"/>
  <c r="CR38" i="4" s="1"/>
  <c r="CX36" i="4" a="1"/>
  <c r="CX36" i="4" s="1"/>
  <c r="CX37" i="4" s="1"/>
  <c r="CX38" i="4" s="1"/>
  <c r="DD36" i="4" a="1"/>
  <c r="DD36" i="4" s="1"/>
  <c r="DD37" i="4" s="1"/>
  <c r="DD38" i="4" s="1"/>
  <c r="Z36" i="4" a="1"/>
  <c r="Z36" i="4" s="1"/>
  <c r="Z37" i="4" s="1"/>
  <c r="Z38" i="4" s="1"/>
  <c r="CH36" i="4" a="1"/>
  <c r="CH36" i="4" s="1"/>
  <c r="CH37" i="4" s="1"/>
  <c r="CH38" i="4" s="1"/>
  <c r="AB36" i="4" a="1"/>
  <c r="AB36" i="4" s="1"/>
  <c r="AB37" i="4" s="1"/>
  <c r="AB38" i="4" s="1"/>
  <c r="AN36" i="4" a="1"/>
  <c r="AN36" i="4" s="1"/>
  <c r="AN37" i="4" s="1"/>
  <c r="AN38" i="4" s="1"/>
  <c r="AZ36" i="4" a="1"/>
  <c r="AZ36" i="4" s="1"/>
  <c r="AZ37" i="4" s="1"/>
  <c r="AZ38" i="4" s="1"/>
  <c r="BL36" i="4" a="1"/>
  <c r="BL36" i="4" s="1"/>
  <c r="BL37" i="4" s="1"/>
  <c r="BL38" i="4" s="1"/>
  <c r="CV36" i="4" a="1"/>
  <c r="CV36" i="4" s="1"/>
  <c r="CV37" i="4" s="1"/>
  <c r="CV38" i="4" s="1"/>
  <c r="N36" i="4" a="1"/>
  <c r="N36" i="4" s="1"/>
  <c r="N37" i="4" s="1"/>
  <c r="N38" i="4" s="1"/>
  <c r="AL36" i="4" a="1"/>
  <c r="AL36" i="4" s="1"/>
  <c r="AL37" i="4" s="1"/>
  <c r="AL38" i="4" s="1"/>
  <c r="AX36" i="4" a="1"/>
  <c r="AX36" i="4" s="1"/>
  <c r="AX37" i="4" s="1"/>
  <c r="AX38" i="4" s="1"/>
  <c r="BJ36" i="4" a="1"/>
  <c r="BJ36" i="4" s="1"/>
  <c r="BJ37" i="4" s="1"/>
  <c r="BJ38" i="4" s="1"/>
  <c r="BV36" i="4" a="1"/>
  <c r="BV36" i="4" s="1"/>
  <c r="BV37" i="4" s="1"/>
  <c r="BV38" i="4" s="1"/>
  <c r="CT36" i="4" a="1"/>
  <c r="CT36" i="4" s="1"/>
  <c r="CT37" i="4" s="1"/>
  <c r="CT38" i="4" s="1"/>
  <c r="M36" i="4" a="1"/>
  <c r="M36" i="4" s="1"/>
  <c r="M37" i="4" s="1"/>
  <c r="M38" i="4" s="1"/>
  <c r="S36" i="4" a="1"/>
  <c r="S36" i="4" s="1"/>
  <c r="S37" i="4" s="1"/>
  <c r="S38" i="4" s="1"/>
  <c r="Y36" i="4" a="1"/>
  <c r="Y36" i="4" s="1"/>
  <c r="Y37" i="4" s="1"/>
  <c r="Y38" i="4" s="1"/>
  <c r="AE36" i="4" a="1"/>
  <c r="AE36" i="4" s="1"/>
  <c r="AE37" i="4" s="1"/>
  <c r="AE38" i="4" s="1"/>
  <c r="AK36" i="4" a="1"/>
  <c r="AK36" i="4" s="1"/>
  <c r="AK37" i="4" s="1"/>
  <c r="AK38" i="4" s="1"/>
  <c r="AQ36" i="4" a="1"/>
  <c r="AQ36" i="4" s="1"/>
  <c r="AQ37" i="4" s="1"/>
  <c r="AQ38" i="4" s="1"/>
  <c r="AW36" i="4" a="1"/>
  <c r="AW36" i="4" s="1"/>
  <c r="AW37" i="4" s="1"/>
  <c r="AW38" i="4" s="1"/>
  <c r="BC36" i="4" a="1"/>
  <c r="BC36" i="4" s="1"/>
  <c r="BC37" i="4" s="1"/>
  <c r="BC38" i="4" s="1"/>
  <c r="BI36" i="4" a="1"/>
  <c r="BI36" i="4" s="1"/>
  <c r="BI37" i="4" s="1"/>
  <c r="BI38" i="4" s="1"/>
  <c r="BO36" i="4" a="1"/>
  <c r="BO36" i="4" s="1"/>
  <c r="BO37" i="4" s="1"/>
  <c r="BO38" i="4" s="1"/>
  <c r="BU36" i="4" a="1"/>
  <c r="BU36" i="4" s="1"/>
  <c r="BU37" i="4" s="1"/>
  <c r="BU38" i="4" s="1"/>
  <c r="CA36" i="4" a="1"/>
  <c r="CA36" i="4" s="1"/>
  <c r="CA37" i="4" s="1"/>
  <c r="CA38" i="4" s="1"/>
  <c r="CG36" i="4" a="1"/>
  <c r="CG36" i="4" s="1"/>
  <c r="CG37" i="4" s="1"/>
  <c r="CG38" i="4" s="1"/>
  <c r="CM36" i="4" a="1"/>
  <c r="CM36" i="4" s="1"/>
  <c r="CM37" i="4" s="1"/>
  <c r="CM38" i="4" s="1"/>
  <c r="CS36" i="4" a="1"/>
  <c r="CS36" i="4" s="1"/>
  <c r="CS37" i="4" s="1"/>
  <c r="CS38" i="4" s="1"/>
  <c r="CY36" i="4" a="1"/>
  <c r="CY36" i="4" s="1"/>
  <c r="CY37" i="4" s="1"/>
  <c r="CY38" i="4" s="1"/>
  <c r="DE36" i="4" a="1"/>
  <c r="DE36" i="4" s="1"/>
  <c r="DE37" i="4" s="1"/>
  <c r="DE38" i="4" s="1"/>
  <c r="P36" i="4" a="1"/>
  <c r="P36" i="4" s="1"/>
  <c r="P37" i="4" s="1"/>
  <c r="P38" i="4" s="1"/>
  <c r="BX36" i="4" a="1"/>
  <c r="BX36" i="4" s="1"/>
  <c r="BX37" i="4" s="1"/>
  <c r="BX38" i="4" s="1"/>
  <c r="CJ36" i="4" a="1"/>
  <c r="CJ36" i="4" s="1"/>
  <c r="CJ37" i="4" s="1"/>
  <c r="CJ38" i="4" s="1"/>
  <c r="O4" i="4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AA4" i="4"/>
  <c r="AA5" i="4" s="1"/>
  <c r="AA6" i="4" s="1"/>
  <c r="AA7" i="4" s="1"/>
  <c r="AA8" i="4" s="1"/>
  <c r="AA9" i="4" s="1"/>
  <c r="AA10" i="4" s="1"/>
  <c r="AA11" i="4" s="1"/>
  <c r="AA12" i="4" s="1"/>
  <c r="AA13" i="4" s="1"/>
  <c r="AA14" i="4" s="1"/>
  <c r="AA15" i="4" s="1"/>
  <c r="AA16" i="4" s="1"/>
  <c r="AA17" i="4" s="1"/>
  <c r="AA18" i="4" s="1"/>
  <c r="AA19" i="4" s="1"/>
  <c r="AA20" i="4" s="1"/>
  <c r="AA21" i="4" s="1"/>
  <c r="AA22" i="4" s="1"/>
  <c r="AA23" i="4" s="1"/>
  <c r="AA24" i="4" s="1"/>
  <c r="AA29" i="4" s="1"/>
  <c r="AA30" i="4" s="1"/>
  <c r="AM4" i="4"/>
  <c r="AM5" i="4" s="1"/>
  <c r="AM6" i="4" s="1"/>
  <c r="AM7" i="4" s="1"/>
  <c r="AM8" i="4" s="1"/>
  <c r="AM9" i="4" s="1"/>
  <c r="AM10" i="4" s="1"/>
  <c r="AM11" i="4" s="1"/>
  <c r="AM12" i="4" s="1"/>
  <c r="AM13" i="4" s="1"/>
  <c r="AM14" i="4" s="1"/>
  <c r="AM15" i="4" s="1"/>
  <c r="AM16" i="4" s="1"/>
  <c r="AM17" i="4" s="1"/>
  <c r="AM18" i="4" s="1"/>
  <c r="AM19" i="4" s="1"/>
  <c r="AM20" i="4" s="1"/>
  <c r="AM21" i="4" s="1"/>
  <c r="AM22" i="4" s="1"/>
  <c r="AM23" i="4" s="1"/>
  <c r="AM24" i="4" s="1"/>
  <c r="AY4" i="4"/>
  <c r="AY5" i="4" s="1"/>
  <c r="AY6" i="4" s="1"/>
  <c r="AY7" i="4" s="1"/>
  <c r="AY8" i="4" s="1"/>
  <c r="AY9" i="4" s="1"/>
  <c r="AY10" i="4" s="1"/>
  <c r="AY11" i="4" s="1"/>
  <c r="AY12" i="4" s="1"/>
  <c r="AY13" i="4" s="1"/>
  <c r="AY14" i="4" s="1"/>
  <c r="AY15" i="4" s="1"/>
  <c r="AY16" i="4" s="1"/>
  <c r="AY17" i="4" s="1"/>
  <c r="AY18" i="4" s="1"/>
  <c r="AY19" i="4" s="1"/>
  <c r="AY20" i="4" s="1"/>
  <c r="AY21" i="4" s="1"/>
  <c r="AY22" i="4" s="1"/>
  <c r="AY23" i="4" s="1"/>
  <c r="AY24" i="4" s="1"/>
  <c r="BK4" i="4"/>
  <c r="BK5" i="4" s="1"/>
  <c r="BK6" i="4" s="1"/>
  <c r="BK7" i="4" s="1"/>
  <c r="BK8" i="4" s="1"/>
  <c r="BK9" i="4" s="1"/>
  <c r="BK10" i="4" s="1"/>
  <c r="BK11" i="4" s="1"/>
  <c r="BK12" i="4" s="1"/>
  <c r="BK13" i="4" s="1"/>
  <c r="BK14" i="4" s="1"/>
  <c r="BK15" i="4" s="1"/>
  <c r="BK16" i="4" s="1"/>
  <c r="BK17" i="4" s="1"/>
  <c r="BK18" i="4" s="1"/>
  <c r="BK19" i="4" s="1"/>
  <c r="BK20" i="4" s="1"/>
  <c r="BK21" i="4" s="1"/>
  <c r="BK22" i="4" s="1"/>
  <c r="BK23" i="4" s="1"/>
  <c r="BK24" i="4" s="1"/>
  <c r="BW4" i="4"/>
  <c r="BW5" i="4" s="1"/>
  <c r="BW6" i="4" s="1"/>
  <c r="BW7" i="4" s="1"/>
  <c r="BW8" i="4" s="1"/>
  <c r="BW9" i="4" s="1"/>
  <c r="BW10" i="4" s="1"/>
  <c r="BW11" i="4" s="1"/>
  <c r="BW12" i="4" s="1"/>
  <c r="BW13" i="4" s="1"/>
  <c r="BW14" i="4" s="1"/>
  <c r="BW15" i="4" s="1"/>
  <c r="BW16" i="4" s="1"/>
  <c r="BW17" i="4" s="1"/>
  <c r="BW18" i="4" s="1"/>
  <c r="BW19" i="4" s="1"/>
  <c r="BW20" i="4" s="1"/>
  <c r="BW21" i="4" s="1"/>
  <c r="BW22" i="4" s="1"/>
  <c r="BW23" i="4" s="1"/>
  <c r="BW24" i="4" s="1"/>
  <c r="CI4" i="4"/>
  <c r="CI5" i="4" s="1"/>
  <c r="CI6" i="4" s="1"/>
  <c r="CI7" i="4" s="1"/>
  <c r="CI8" i="4" s="1"/>
  <c r="CI9" i="4" s="1"/>
  <c r="CI10" i="4" s="1"/>
  <c r="CI11" i="4" s="1"/>
  <c r="CI12" i="4" s="1"/>
  <c r="CI13" i="4" s="1"/>
  <c r="CI14" i="4" s="1"/>
  <c r="CI15" i="4" s="1"/>
  <c r="CI16" i="4" s="1"/>
  <c r="CI17" i="4" s="1"/>
  <c r="CI18" i="4" s="1"/>
  <c r="CI19" i="4" s="1"/>
  <c r="CI20" i="4" s="1"/>
  <c r="CI21" i="4" s="1"/>
  <c r="CI22" i="4" s="1"/>
  <c r="CI23" i="4" s="1"/>
  <c r="CI24" i="4" s="1"/>
  <c r="CU4" i="4"/>
  <c r="CU5" i="4" s="1"/>
  <c r="CU6" i="4" s="1"/>
  <c r="CU7" i="4" s="1"/>
  <c r="CU8" i="4" s="1"/>
  <c r="CU9" i="4" s="1"/>
  <c r="CU10" i="4" s="1"/>
  <c r="CU11" i="4" s="1"/>
  <c r="CU12" i="4" s="1"/>
  <c r="CU13" i="4" s="1"/>
  <c r="CU14" i="4" s="1"/>
  <c r="CU15" i="4" s="1"/>
  <c r="CU16" i="4" s="1"/>
  <c r="CU17" i="4" s="1"/>
  <c r="CU18" i="4" s="1"/>
  <c r="CU19" i="4" s="1"/>
  <c r="CU20" i="4" s="1"/>
  <c r="CU21" i="4" s="1"/>
  <c r="CU22" i="4" s="1"/>
  <c r="CU23" i="4" s="1"/>
  <c r="CU24" i="4" s="1"/>
  <c r="AP32" i="4"/>
  <c r="AP33" i="4" s="1"/>
  <c r="AP34" i="4" s="1"/>
  <c r="BZ32" i="4"/>
  <c r="BZ33" i="4" s="1"/>
  <c r="BZ34" i="4" s="1"/>
  <c r="CA32" i="4"/>
  <c r="CA33" i="4" s="1"/>
  <c r="CA34" i="4" s="1"/>
  <c r="AO32" i="4"/>
  <c r="AO33" i="4" s="1"/>
  <c r="AO34" i="4" s="1"/>
  <c r="CB4" i="4"/>
  <c r="BE32" i="4"/>
  <c r="BE33" i="4" s="1"/>
  <c r="BE34" i="4" s="1"/>
  <c r="AN32" i="4"/>
  <c r="AN33" i="4" s="1"/>
  <c r="AN34" i="4" s="1"/>
  <c r="S32" i="4"/>
  <c r="S33" i="4" s="1"/>
  <c r="S34" i="4" s="1"/>
  <c r="T32" i="4"/>
  <c r="T33" i="4" s="1"/>
  <c r="T34" i="4" s="1"/>
  <c r="U32" i="4"/>
  <c r="U33" i="4" s="1"/>
  <c r="U34" i="4" s="1"/>
  <c r="BX32" i="4"/>
  <c r="BX33" i="4" s="1"/>
  <c r="BX34" i="4" s="1"/>
  <c r="BY32" i="4"/>
  <c r="BY33" i="4" s="1"/>
  <c r="BY34" i="4" s="1"/>
  <c r="AQ32" i="4"/>
  <c r="AQ33" i="4" s="1"/>
  <c r="AQ34" i="4" s="1"/>
  <c r="CC32" i="4"/>
  <c r="CC33" i="4" s="1"/>
  <c r="CC34" i="4" s="1"/>
  <c r="AR32" i="4"/>
  <c r="AR33" i="4" s="1"/>
  <c r="AR34" i="4" s="1"/>
  <c r="CM32" i="4"/>
  <c r="CM33" i="4" s="1"/>
  <c r="CM34" i="4" s="1"/>
  <c r="AS32" i="4"/>
  <c r="AS33" i="4" s="1"/>
  <c r="AS34" i="4" s="1"/>
  <c r="CN32" i="4"/>
  <c r="CN33" i="4" s="1"/>
  <c r="CN34" i="4" s="1"/>
  <c r="BC32" i="4"/>
  <c r="BC33" i="4" s="1"/>
  <c r="BC34" i="4" s="1"/>
  <c r="CO32" i="4"/>
  <c r="CO33" i="4" s="1"/>
  <c r="CO34" i="4" s="1"/>
  <c r="BD32" i="4"/>
  <c r="BD33" i="4" s="1"/>
  <c r="BD34" i="4" s="1"/>
  <c r="CH32" i="4"/>
  <c r="CH33" i="4" s="1"/>
  <c r="CH34" i="4" s="1"/>
  <c r="AE32" i="4"/>
  <c r="AE33" i="4" s="1"/>
  <c r="AE34" i="4" s="1"/>
  <c r="BO32" i="4"/>
  <c r="BO33" i="4" s="1"/>
  <c r="BO34" i="4" s="1"/>
  <c r="CY32" i="4"/>
  <c r="CY33" i="4" s="1"/>
  <c r="CY34" i="4" s="1"/>
  <c r="Z32" i="4"/>
  <c r="Z33" i="4" s="1"/>
  <c r="Z34" i="4" s="1"/>
  <c r="BJ32" i="4"/>
  <c r="BJ33" i="4" s="1"/>
  <c r="BJ34" i="4" s="1"/>
  <c r="CT32" i="4"/>
  <c r="CT33" i="4" s="1"/>
  <c r="CT34" i="4" s="1"/>
  <c r="BL32" i="4"/>
  <c r="BL33" i="4" s="1"/>
  <c r="BL34" i="4" s="1"/>
  <c r="AC32" i="4"/>
  <c r="AC33" i="4" s="1"/>
  <c r="AC34" i="4" s="1"/>
  <c r="CW32" i="4"/>
  <c r="CW33" i="4" s="1"/>
  <c r="CW34" i="4" s="1"/>
  <c r="N32" i="4"/>
  <c r="N33" i="4" s="1"/>
  <c r="N34" i="4" s="1"/>
  <c r="AD32" i="4"/>
  <c r="AD33" i="4" s="1"/>
  <c r="AD34" i="4" s="1"/>
  <c r="AX32" i="4"/>
  <c r="AX33" i="4" s="1"/>
  <c r="AX34" i="4" s="1"/>
  <c r="CX32" i="4"/>
  <c r="CX33" i="4" s="1"/>
  <c r="CX34" i="4" s="1"/>
  <c r="P32" i="4"/>
  <c r="P33" i="4" s="1"/>
  <c r="P34" i="4" s="1"/>
  <c r="AF32" i="4"/>
  <c r="AF33" i="4" s="1"/>
  <c r="AF34" i="4" s="1"/>
  <c r="AZ32" i="4"/>
  <c r="AZ33" i="4" s="1"/>
  <c r="AZ34" i="4" s="1"/>
  <c r="BP32" i="4"/>
  <c r="BP33" i="4" s="1"/>
  <c r="BP34" i="4" s="1"/>
  <c r="CJ32" i="4"/>
  <c r="CJ33" i="4" s="1"/>
  <c r="CJ34" i="4" s="1"/>
  <c r="CZ32" i="4"/>
  <c r="CZ33" i="4" s="1"/>
  <c r="CZ34" i="4" s="1"/>
  <c r="BN32" i="4"/>
  <c r="BN33" i="4" s="1"/>
  <c r="BN34" i="4" s="1"/>
  <c r="Q32" i="4"/>
  <c r="Q33" i="4" s="1"/>
  <c r="Q34" i="4" s="1"/>
  <c r="AG32" i="4"/>
  <c r="AG33" i="4" s="1"/>
  <c r="AG34" i="4" s="1"/>
  <c r="BA32" i="4"/>
  <c r="BA33" i="4" s="1"/>
  <c r="BA34" i="4" s="1"/>
  <c r="BQ32" i="4"/>
  <c r="BQ33" i="4" s="1"/>
  <c r="BQ34" i="4" s="1"/>
  <c r="CK32" i="4"/>
  <c r="CK33" i="4" s="1"/>
  <c r="CK34" i="4" s="1"/>
  <c r="DA32" i="4"/>
  <c r="DA33" i="4" s="1"/>
  <c r="DA34" i="4" s="1"/>
  <c r="AB32" i="4"/>
  <c r="AB33" i="4" s="1"/>
  <c r="AB34" i="4" s="1"/>
  <c r="CV32" i="4"/>
  <c r="CV33" i="4" s="1"/>
  <c r="CV34" i="4" s="1"/>
  <c r="BM32" i="4"/>
  <c r="BM33" i="4" s="1"/>
  <c r="BM34" i="4" s="1"/>
  <c r="R32" i="4"/>
  <c r="R33" i="4" s="1"/>
  <c r="R34" i="4" s="1"/>
  <c r="AL32" i="4"/>
  <c r="AL33" i="4" s="1"/>
  <c r="AL34" i="4" s="1"/>
  <c r="BB32" i="4"/>
  <c r="BB33" i="4" s="1"/>
  <c r="BB34" i="4" s="1"/>
  <c r="BV32" i="4"/>
  <c r="BV33" i="4" s="1"/>
  <c r="BV34" i="4" s="1"/>
  <c r="CL32" i="4"/>
  <c r="CL33" i="4" s="1"/>
  <c r="CL34" i="4" s="1"/>
  <c r="V32" i="4"/>
  <c r="V33" i="4" s="1"/>
  <c r="V34" i="4" s="1"/>
  <c r="AH32" i="4"/>
  <c r="AH33" i="4" s="1"/>
  <c r="AH34" i="4" s="1"/>
  <c r="AT32" i="4"/>
  <c r="AT33" i="4" s="1"/>
  <c r="AT34" i="4" s="1"/>
  <c r="BF32" i="4"/>
  <c r="BF33" i="4" s="1"/>
  <c r="BF34" i="4" s="1"/>
  <c r="BR32" i="4"/>
  <c r="BR33" i="4" s="1"/>
  <c r="BR34" i="4" s="1"/>
  <c r="CD32" i="4"/>
  <c r="CD33" i="4" s="1"/>
  <c r="CD34" i="4" s="1"/>
  <c r="CP32" i="4"/>
  <c r="CP33" i="4" s="1"/>
  <c r="CP34" i="4" s="1"/>
  <c r="DB32" i="4"/>
  <c r="DB33" i="4" s="1"/>
  <c r="DB34" i="4" s="1"/>
  <c r="K32" i="4"/>
  <c r="K33" i="4" s="1"/>
  <c r="K34" i="4" s="1"/>
  <c r="W32" i="4"/>
  <c r="W33" i="4" s="1"/>
  <c r="W34" i="4" s="1"/>
  <c r="AI32" i="4"/>
  <c r="AI33" i="4" s="1"/>
  <c r="AI34" i="4" s="1"/>
  <c r="AU32" i="4"/>
  <c r="AU33" i="4" s="1"/>
  <c r="AU34" i="4" s="1"/>
  <c r="BG32" i="4"/>
  <c r="BG33" i="4" s="1"/>
  <c r="BG34" i="4" s="1"/>
  <c r="BS32" i="4"/>
  <c r="BS33" i="4" s="1"/>
  <c r="BS34" i="4" s="1"/>
  <c r="CE32" i="4"/>
  <c r="CE33" i="4" s="1"/>
  <c r="CE34" i="4" s="1"/>
  <c r="CQ32" i="4"/>
  <c r="CQ33" i="4" s="1"/>
  <c r="CQ34" i="4" s="1"/>
  <c r="DC32" i="4"/>
  <c r="DC33" i="4" s="1"/>
  <c r="DC34" i="4" s="1"/>
  <c r="L32" i="4"/>
  <c r="L33" i="4" s="1"/>
  <c r="L34" i="4" s="1"/>
  <c r="X32" i="4"/>
  <c r="X33" i="4" s="1"/>
  <c r="X34" i="4" s="1"/>
  <c r="AJ32" i="4"/>
  <c r="AJ33" i="4" s="1"/>
  <c r="AJ34" i="4" s="1"/>
  <c r="AV32" i="4"/>
  <c r="AV33" i="4" s="1"/>
  <c r="AV34" i="4" s="1"/>
  <c r="BH32" i="4"/>
  <c r="BH33" i="4" s="1"/>
  <c r="BH34" i="4" s="1"/>
  <c r="BT32" i="4"/>
  <c r="BT33" i="4" s="1"/>
  <c r="BT34" i="4" s="1"/>
  <c r="CF32" i="4"/>
  <c r="CF33" i="4" s="1"/>
  <c r="CF34" i="4" s="1"/>
  <c r="CR32" i="4"/>
  <c r="CR33" i="4" s="1"/>
  <c r="CR34" i="4" s="1"/>
  <c r="DD32" i="4"/>
  <c r="DD33" i="4" s="1"/>
  <c r="DD34" i="4" s="1"/>
  <c r="M32" i="4"/>
  <c r="M33" i="4" s="1"/>
  <c r="M34" i="4" s="1"/>
  <c r="Y32" i="4"/>
  <c r="Y33" i="4" s="1"/>
  <c r="Y34" i="4" s="1"/>
  <c r="AK32" i="4"/>
  <c r="AK33" i="4" s="1"/>
  <c r="AK34" i="4" s="1"/>
  <c r="AW32" i="4"/>
  <c r="AW33" i="4" s="1"/>
  <c r="AW34" i="4" s="1"/>
  <c r="BI32" i="4"/>
  <c r="BI33" i="4" s="1"/>
  <c r="BI34" i="4" s="1"/>
  <c r="BU32" i="4"/>
  <c r="BU33" i="4" s="1"/>
  <c r="BU34" i="4" s="1"/>
  <c r="CG32" i="4"/>
  <c r="CG33" i="4" s="1"/>
  <c r="CG34" i="4" s="1"/>
  <c r="CS32" i="4"/>
  <c r="CS33" i="4" s="1"/>
  <c r="CS34" i="4" s="1"/>
  <c r="DE32" i="4"/>
  <c r="DE33" i="4" s="1"/>
  <c r="DE34" i="4" s="1"/>
  <c r="J32" i="4"/>
  <c r="J33" i="4" s="1"/>
  <c r="J34" i="4" s="1"/>
  <c r="AL29" i="4"/>
  <c r="AL30" i="4" s="1"/>
  <c r="AP29" i="4"/>
  <c r="AP30" i="4" s="1"/>
  <c r="BZ29" i="4"/>
  <c r="BZ30" i="4" s="1"/>
  <c r="CH29" i="4"/>
  <c r="CH30" i="4" s="1"/>
  <c r="AX29" i="4"/>
  <c r="AX30" i="4" s="1"/>
  <c r="BV29" i="4"/>
  <c r="BV30" i="4" s="1"/>
  <c r="N29" i="4"/>
  <c r="N30" i="4" s="1"/>
  <c r="BB29" i="4"/>
  <c r="BB30" i="4" s="1"/>
  <c r="CL29" i="4"/>
  <c r="CL30" i="4" s="1"/>
  <c r="BC29" i="4"/>
  <c r="BC30" i="4" s="1"/>
  <c r="CM29" i="4"/>
  <c r="CM30" i="4" s="1"/>
  <c r="S29" i="4"/>
  <c r="S30" i="4" s="1"/>
  <c r="BJ29" i="4"/>
  <c r="BJ30" i="4" s="1"/>
  <c r="CT29" i="4"/>
  <c r="CT30" i="4" s="1"/>
  <c r="Z29" i="4"/>
  <c r="Z30" i="4" s="1"/>
  <c r="AQ29" i="4"/>
  <c r="AQ30" i="4" s="1"/>
  <c r="CA29" i="4"/>
  <c r="CA30" i="4" s="1"/>
  <c r="BN29" i="4"/>
  <c r="BN30" i="4" s="1"/>
  <c r="CX29" i="4"/>
  <c r="CX30" i="4" s="1"/>
  <c r="AE29" i="4"/>
  <c r="AE30" i="4" s="1"/>
  <c r="BO29" i="4"/>
  <c r="BO30" i="4" s="1"/>
  <c r="CY29" i="4"/>
  <c r="CY30" i="4" s="1"/>
  <c r="P29" i="4"/>
  <c r="P30" i="4" s="1"/>
  <c r="AB29" i="4"/>
  <c r="AB30" i="4" s="1"/>
  <c r="AN29" i="4"/>
  <c r="AN30" i="4" s="1"/>
  <c r="AZ29" i="4"/>
  <c r="AZ30" i="4" s="1"/>
  <c r="BL29" i="4"/>
  <c r="BL30" i="4" s="1"/>
  <c r="BX29" i="4"/>
  <c r="BX30" i="4" s="1"/>
  <c r="CJ29" i="4"/>
  <c r="CJ30" i="4" s="1"/>
  <c r="CV29" i="4"/>
  <c r="CV30" i="4" s="1"/>
  <c r="Q29" i="4"/>
  <c r="Q30" i="4" s="1"/>
  <c r="AC29" i="4"/>
  <c r="AC30" i="4" s="1"/>
  <c r="AO29" i="4"/>
  <c r="AO30" i="4" s="1"/>
  <c r="BA29" i="4"/>
  <c r="BA30" i="4" s="1"/>
  <c r="BM29" i="4"/>
  <c r="BM30" i="4" s="1"/>
  <c r="BY29" i="4"/>
  <c r="BY30" i="4" s="1"/>
  <c r="CK29" i="4"/>
  <c r="CK30" i="4" s="1"/>
  <c r="CW29" i="4"/>
  <c r="CW30" i="4" s="1"/>
  <c r="R29" i="4"/>
  <c r="R30" i="4" s="1"/>
  <c r="AD29" i="4"/>
  <c r="AD30" i="4" s="1"/>
  <c r="U29" i="4"/>
  <c r="U30" i="4" s="1"/>
  <c r="AG29" i="4"/>
  <c r="AG30" i="4" s="1"/>
  <c r="AS29" i="4"/>
  <c r="AS30" i="4" s="1"/>
  <c r="BE29" i="4"/>
  <c r="BE30" i="4" s="1"/>
  <c r="BQ29" i="4"/>
  <c r="BQ30" i="4" s="1"/>
  <c r="CC29" i="4"/>
  <c r="CC30" i="4" s="1"/>
  <c r="CO29" i="4"/>
  <c r="CO30" i="4" s="1"/>
  <c r="DA29" i="4"/>
  <c r="DA30" i="4" s="1"/>
  <c r="V29" i="4"/>
  <c r="V30" i="4" s="1"/>
  <c r="AH29" i="4"/>
  <c r="AH30" i="4" s="1"/>
  <c r="AT29" i="4"/>
  <c r="AT30" i="4" s="1"/>
  <c r="BF29" i="4"/>
  <c r="BF30" i="4" s="1"/>
  <c r="BR29" i="4"/>
  <c r="BR30" i="4" s="1"/>
  <c r="CD29" i="4"/>
  <c r="CD30" i="4" s="1"/>
  <c r="CP29" i="4"/>
  <c r="CP30" i="4" s="1"/>
  <c r="DB29" i="4"/>
  <c r="DB30" i="4" s="1"/>
  <c r="CN29" i="4"/>
  <c r="CN30" i="4" s="1"/>
  <c r="K29" i="4"/>
  <c r="K30" i="4" s="1"/>
  <c r="W29" i="4"/>
  <c r="W30" i="4" s="1"/>
  <c r="AI29" i="4"/>
  <c r="AI30" i="4" s="1"/>
  <c r="AU29" i="4"/>
  <c r="AU30" i="4" s="1"/>
  <c r="BG29" i="4"/>
  <c r="BG30" i="4" s="1"/>
  <c r="BS29" i="4"/>
  <c r="BS30" i="4" s="1"/>
  <c r="CE29" i="4"/>
  <c r="CE30" i="4" s="1"/>
  <c r="CQ29" i="4"/>
  <c r="CQ30" i="4" s="1"/>
  <c r="DC29" i="4"/>
  <c r="DC30" i="4" s="1"/>
  <c r="L29" i="4"/>
  <c r="L30" i="4" s="1"/>
  <c r="X29" i="4"/>
  <c r="X30" i="4" s="1"/>
  <c r="AJ29" i="4"/>
  <c r="AJ30" i="4" s="1"/>
  <c r="AV29" i="4"/>
  <c r="AV30" i="4" s="1"/>
  <c r="BH29" i="4"/>
  <c r="BH30" i="4" s="1"/>
  <c r="BT29" i="4"/>
  <c r="BT30" i="4" s="1"/>
  <c r="CF29" i="4"/>
  <c r="CF30" i="4" s="1"/>
  <c r="CR29" i="4"/>
  <c r="CR30" i="4" s="1"/>
  <c r="DD29" i="4"/>
  <c r="DD30" i="4" s="1"/>
  <c r="T29" i="4"/>
  <c r="T30" i="4" s="1"/>
  <c r="AF29" i="4"/>
  <c r="AF30" i="4" s="1"/>
  <c r="AR29" i="4"/>
  <c r="AR30" i="4" s="1"/>
  <c r="BD29" i="4"/>
  <c r="BD30" i="4" s="1"/>
  <c r="BP29" i="4"/>
  <c r="BP30" i="4" s="1"/>
  <c r="CZ29" i="4"/>
  <c r="CZ30" i="4" s="1"/>
  <c r="M29" i="4"/>
  <c r="M30" i="4" s="1"/>
  <c r="Y29" i="4"/>
  <c r="Y30" i="4" s="1"/>
  <c r="AK29" i="4"/>
  <c r="AK30" i="4" s="1"/>
  <c r="AW29" i="4"/>
  <c r="AW30" i="4" s="1"/>
  <c r="BI29" i="4"/>
  <c r="BI30" i="4" s="1"/>
  <c r="BU29" i="4"/>
  <c r="BU30" i="4" s="1"/>
  <c r="CG29" i="4"/>
  <c r="CG30" i="4" s="1"/>
  <c r="CS29" i="4"/>
  <c r="CS30" i="4" s="1"/>
  <c r="DE29" i="4"/>
  <c r="DE30" i="4" s="1"/>
  <c r="J29" i="4"/>
  <c r="J30" i="4" s="1"/>
  <c r="J1247" i="2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F1247" i="2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1" i="2" s="1"/>
  <c r="F1262" i="2" s="1"/>
  <c r="F1263" i="2" s="1"/>
  <c r="F1264" i="2" s="1"/>
  <c r="F1265" i="2" s="1"/>
  <c r="F1266" i="2" s="1"/>
  <c r="F1267" i="2" s="1"/>
  <c r="CI36" i="4" l="1" a="1"/>
  <c r="CI36" i="4" s="1"/>
  <c r="CI37" i="4" s="1"/>
  <c r="CI38" i="4" s="1"/>
  <c r="BW36" i="4" a="1"/>
  <c r="BW36" i="4" s="1"/>
  <c r="BW37" i="4" s="1"/>
  <c r="BW38" i="4" s="1"/>
  <c r="CU36" i="4" a="1"/>
  <c r="CU36" i="4" s="1"/>
  <c r="CU37" i="4" s="1"/>
  <c r="CU38" i="4" s="1"/>
  <c r="BK36" i="4" a="1"/>
  <c r="BK36" i="4" s="1"/>
  <c r="BK37" i="4" s="1"/>
  <c r="BK38" i="4" s="1"/>
  <c r="AY36" i="4" a="1"/>
  <c r="AY36" i="4" s="1"/>
  <c r="AY37" i="4" s="1"/>
  <c r="AY38" i="4" s="1"/>
  <c r="AM36" i="4" a="1"/>
  <c r="AM36" i="4" s="1"/>
  <c r="AM37" i="4" s="1"/>
  <c r="AM38" i="4" s="1"/>
  <c r="AA36" i="4" a="1"/>
  <c r="AA36" i="4" s="1"/>
  <c r="AA37" i="4" s="1"/>
  <c r="AA38" i="4" s="1"/>
  <c r="O36" i="4" a="1"/>
  <c r="O36" i="4" s="1"/>
  <c r="O37" i="4" s="1"/>
  <c r="O38" i="4" s="1"/>
  <c r="CU26" i="4"/>
  <c r="CU27" i="4" s="1"/>
  <c r="CI26" i="4"/>
  <c r="CI27" i="4" s="1"/>
  <c r="BW26" i="4"/>
  <c r="BW27" i="4" s="1"/>
  <c r="AA26" i="4"/>
  <c r="AA27" i="4" s="1"/>
  <c r="O26" i="4"/>
  <c r="O27" i="4" s="1"/>
  <c r="BK26" i="4"/>
  <c r="BK27" i="4" s="1"/>
  <c r="AY26" i="4"/>
  <c r="AY27" i="4" s="1"/>
  <c r="AM26" i="4"/>
  <c r="AM27" i="4" s="1"/>
  <c r="AY32" i="4"/>
  <c r="AY33" i="4" s="1"/>
  <c r="AY34" i="4" s="1"/>
  <c r="O29" i="4"/>
  <c r="O30" i="4" s="1"/>
  <c r="O32" i="4"/>
  <c r="O33" i="4" s="1"/>
  <c r="O34" i="4" s="1"/>
  <c r="CU32" i="4"/>
  <c r="CU33" i="4" s="1"/>
  <c r="CU34" i="4" s="1"/>
  <c r="CU29" i="4"/>
  <c r="CU30" i="4" s="1"/>
  <c r="BW29" i="4"/>
  <c r="BW30" i="4" s="1"/>
  <c r="CI29" i="4"/>
  <c r="CI30" i="4" s="1"/>
  <c r="AA32" i="4"/>
  <c r="AA33" i="4" s="1"/>
  <c r="AA34" i="4" s="1"/>
  <c r="BW32" i="4"/>
  <c r="BW33" i="4" s="1"/>
  <c r="BW34" i="4" s="1"/>
  <c r="AM32" i="4"/>
  <c r="AM33" i="4" s="1"/>
  <c r="AM34" i="4" s="1"/>
  <c r="BK29" i="4"/>
  <c r="BK30" i="4" s="1"/>
  <c r="BK32" i="4"/>
  <c r="BK33" i="4" s="1"/>
  <c r="BK34" i="4" s="1"/>
  <c r="AM29" i="4"/>
  <c r="AM30" i="4" s="1"/>
  <c r="CI32" i="4"/>
  <c r="CI33" i="4" s="1"/>
  <c r="CI34" i="4" s="1"/>
  <c r="CB5" i="4"/>
  <c r="CB6" i="4" s="1"/>
  <c r="CB7" i="4" s="1"/>
  <c r="CB8" i="4" s="1"/>
  <c r="CB9" i="4" s="1"/>
  <c r="CB10" i="4" s="1"/>
  <c r="CB11" i="4" s="1"/>
  <c r="CB12" i="4" s="1"/>
  <c r="CB13" i="4" s="1"/>
  <c r="CB14" i="4" s="1"/>
  <c r="CB15" i="4" s="1"/>
  <c r="CB16" i="4" s="1"/>
  <c r="CB17" i="4" s="1"/>
  <c r="CB18" i="4" s="1"/>
  <c r="CB19" i="4" s="1"/>
  <c r="CB20" i="4" s="1"/>
  <c r="CB21" i="4" s="1"/>
  <c r="CB22" i="4" s="1"/>
  <c r="CB23" i="4" s="1"/>
  <c r="CB24" i="4" s="1"/>
  <c r="AY29" i="4"/>
  <c r="AY30" i="4" s="1"/>
  <c r="CB36" i="4" l="1" a="1"/>
  <c r="CB36" i="4" s="1"/>
  <c r="CB37" i="4" s="1"/>
  <c r="CB38" i="4" s="1"/>
  <c r="CB26" i="4"/>
  <c r="CB27" i="4" s="1"/>
  <c r="DH27" i="4" s="1"/>
  <c r="CB29" i="4"/>
  <c r="CB30" i="4" s="1"/>
  <c r="DN28" i="4" s="1"/>
  <c r="DN29" i="4" s="1"/>
  <c r="CB32" i="4"/>
  <c r="CB33" i="4" s="1"/>
  <c r="CB34" i="4" s="1"/>
  <c r="DH34" i="4" s="1"/>
  <c r="DH28" i="4" l="1"/>
  <c r="DH29" i="4" s="1"/>
  <c r="DJ29" i="4" s="1"/>
  <c r="DN27" i="4"/>
  <c r="DP29" i="4" s="1"/>
  <c r="DH35" i="4"/>
  <c r="DH36" i="4" s="1"/>
  <c r="DJ36" i="4" s="1"/>
  <c r="DJ28" i="4" l="1"/>
  <c r="DJ30" i="4" s="1"/>
  <c r="DP28" i="4"/>
  <c r="DP30" i="4" s="1"/>
  <c r="DJ35" i="4"/>
  <c r="DJ3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tc={BFC550D1-548B-49B0-839F-6FA23CA50598}</author>
    <author>tc={9EA0DADB-98EC-4456-99B9-5337044E67F3}</author>
  </authors>
  <commentList>
    <comment ref="F1246" authorId="0" shapeId="0" xr:uid="{BFC550D1-548B-49B0-839F-6FA23CA50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Price(today) = P(yesterday)*e^(r)</t>
      </text>
    </comment>
    <comment ref="J1246" authorId="1" shapeId="0" xr:uid="{9EA0DADB-98EC-4456-99B9-5337044E67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Price(today) = P(yesterday)*e^(r)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<sst xmlns="http://schemas.openxmlformats.org/spreadsheetml/2006/main" count="230" uniqueCount="166">
  <si>
    <t>Exchange Date</t>
  </si>
  <si>
    <t>Close</t>
  </si>
  <si>
    <t>Log Returns</t>
  </si>
  <si>
    <t>END</t>
  </si>
  <si>
    <t>START</t>
  </si>
  <si>
    <t>RANDOM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</si>
  <si>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</si>
  <si>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</si>
  <si>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</si>
  <si>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</si>
  <si>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</si>
  <si>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</si>
  <si>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</si>
  <si>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</si>
  <si>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</si>
  <si>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</si>
  <si>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</si>
  <si>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</si>
  <si>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</si>
  <si>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</si>
  <si>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</si>
  <si>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</si>
  <si>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</si>
  <si>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</si>
  <si>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</si>
  <si>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</si>
  <si>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</si>
  <si>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</si>
  <si>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Value as on 18-08-2026</t>
  </si>
  <si>
    <t>Start of 2026</t>
  </si>
  <si>
    <t>Nifty Path 2</t>
  </si>
  <si>
    <t>Nifty Path 1</t>
  </si>
  <si>
    <t>Exp. Annualized Volatility</t>
  </si>
  <si>
    <t>dt</t>
  </si>
  <si>
    <t>Day 0</t>
  </si>
  <si>
    <t>Expected Mean (assumed)</t>
  </si>
  <si>
    <t>Path 1</t>
  </si>
  <si>
    <t>Path 2</t>
  </si>
  <si>
    <t>Path 3</t>
  </si>
  <si>
    <t>Path 4</t>
  </si>
  <si>
    <t>Path 5</t>
  </si>
  <si>
    <t>Path 6</t>
  </si>
  <si>
    <t>Path 7</t>
  </si>
  <si>
    <t>Path 8</t>
  </si>
  <si>
    <t>Path 9</t>
  </si>
  <si>
    <t>Path 10</t>
  </si>
  <si>
    <t>Path 11</t>
  </si>
  <si>
    <t>Path 12</t>
  </si>
  <si>
    <t>Path 13</t>
  </si>
  <si>
    <t>Path 14</t>
  </si>
  <si>
    <t>Path 15</t>
  </si>
  <si>
    <t>Path 16</t>
  </si>
  <si>
    <t>Path 17</t>
  </si>
  <si>
    <t>Path 18</t>
  </si>
  <si>
    <t>Path 19</t>
  </si>
  <si>
    <t>Path 20</t>
  </si>
  <si>
    <t>Path 21</t>
  </si>
  <si>
    <t>Path 22</t>
  </si>
  <si>
    <t>Path 23</t>
  </si>
  <si>
    <t>Path 24</t>
  </si>
  <si>
    <t>Path 25</t>
  </si>
  <si>
    <t>Path 26</t>
  </si>
  <si>
    <t>Path 27</t>
  </si>
  <si>
    <t>Path 28</t>
  </si>
  <si>
    <t>Path 29</t>
  </si>
  <si>
    <t>Path 30</t>
  </si>
  <si>
    <t>Path 31</t>
  </si>
  <si>
    <t>Path 32</t>
  </si>
  <si>
    <t>Path 33</t>
  </si>
  <si>
    <t>Path 34</t>
  </si>
  <si>
    <t>Path 35</t>
  </si>
  <si>
    <t>Path 36</t>
  </si>
  <si>
    <t>Path 37</t>
  </si>
  <si>
    <t>Path 38</t>
  </si>
  <si>
    <t>Path 39</t>
  </si>
  <si>
    <t>Path 40</t>
  </si>
  <si>
    <t>Path 41</t>
  </si>
  <si>
    <t>Path 42</t>
  </si>
  <si>
    <t>Path 43</t>
  </si>
  <si>
    <t>Path 44</t>
  </si>
  <si>
    <t>Path 45</t>
  </si>
  <si>
    <t>Path 46</t>
  </si>
  <si>
    <t>Path 47</t>
  </si>
  <si>
    <t>Path 48</t>
  </si>
  <si>
    <t>Path 49</t>
  </si>
  <si>
    <t>Path 50</t>
  </si>
  <si>
    <t>Path 51</t>
  </si>
  <si>
    <t>Path 52</t>
  </si>
  <si>
    <t>Path 53</t>
  </si>
  <si>
    <t>Path 54</t>
  </si>
  <si>
    <t>Path 55</t>
  </si>
  <si>
    <t>Path 56</t>
  </si>
  <si>
    <t>Path 57</t>
  </si>
  <si>
    <t>Path 58</t>
  </si>
  <si>
    <t>Path 59</t>
  </si>
  <si>
    <t>Path 60</t>
  </si>
  <si>
    <t>Path 61</t>
  </si>
  <si>
    <t>Path 62</t>
  </si>
  <si>
    <t>Path 63</t>
  </si>
  <si>
    <t>Path 64</t>
  </si>
  <si>
    <t>Path 65</t>
  </si>
  <si>
    <t>Path 66</t>
  </si>
  <si>
    <t>Path 67</t>
  </si>
  <si>
    <t>Path 68</t>
  </si>
  <si>
    <t>Path 69</t>
  </si>
  <si>
    <t>Path 70</t>
  </si>
  <si>
    <t>Path 71</t>
  </si>
  <si>
    <t>Path 72</t>
  </si>
  <si>
    <t>Path 73</t>
  </si>
  <si>
    <t>Path 74</t>
  </si>
  <si>
    <t>Path 75</t>
  </si>
  <si>
    <t>Path 76</t>
  </si>
  <si>
    <t>Path 77</t>
  </si>
  <si>
    <t>Path 78</t>
  </si>
  <si>
    <t>Path 79</t>
  </si>
  <si>
    <t>Path 80</t>
  </si>
  <si>
    <t>Path 81</t>
  </si>
  <si>
    <t>Path 82</t>
  </si>
  <si>
    <t>Path 83</t>
  </si>
  <si>
    <t>Path 84</t>
  </si>
  <si>
    <t>Path 85</t>
  </si>
  <si>
    <t>Path 86</t>
  </si>
  <si>
    <t>Path 87</t>
  </si>
  <si>
    <t>Path 88</t>
  </si>
  <si>
    <t>Path 89</t>
  </si>
  <si>
    <t>Path 90</t>
  </si>
  <si>
    <t>Path 91</t>
  </si>
  <si>
    <t>Path 92</t>
  </si>
  <si>
    <t>Path 93</t>
  </si>
  <si>
    <t>Path 94</t>
  </si>
  <si>
    <t>Path 95</t>
  </si>
  <si>
    <t>Path 96</t>
  </si>
  <si>
    <t>Path 97</t>
  </si>
  <si>
    <t>Path 98</t>
  </si>
  <si>
    <t>Path 99</t>
  </si>
  <si>
    <t>Path 100</t>
  </si>
  <si>
    <t>Std. Deviation</t>
  </si>
  <si>
    <t>Std. Error</t>
  </si>
  <si>
    <t>Spot</t>
  </si>
  <si>
    <t>Strike</t>
  </si>
  <si>
    <t>Rf</t>
  </si>
  <si>
    <t>Vol</t>
  </si>
  <si>
    <t>T</t>
  </si>
  <si>
    <t>CE</t>
  </si>
  <si>
    <t>Option Pricing</t>
  </si>
  <si>
    <t>d1</t>
  </si>
  <si>
    <t>d2</t>
  </si>
  <si>
    <t>Call Price</t>
  </si>
  <si>
    <t>Value Today</t>
  </si>
  <si>
    <t xml:space="preserve">Mean </t>
  </si>
  <si>
    <t xml:space="preserve">Lower </t>
  </si>
  <si>
    <t>Upper</t>
  </si>
  <si>
    <t>BSM Call</t>
  </si>
  <si>
    <t>PE</t>
  </si>
  <si>
    <t>Pur Value at Expirty</t>
  </si>
  <si>
    <t>BSM Put</t>
  </si>
  <si>
    <t>Asian Call</t>
  </si>
  <si>
    <t>Call Value at Expiry</t>
  </si>
  <si>
    <t>Put Using Discounted Prices</t>
  </si>
  <si>
    <t>Call Using Discounted Prices</t>
  </si>
  <si>
    <t>Asian Call Using Discounted Prices</t>
  </si>
  <si>
    <t>Range</t>
  </si>
  <si>
    <t>Barrier Call</t>
  </si>
  <si>
    <t>Up Bar</t>
  </si>
  <si>
    <t>If nifty crosses 24300, it is up and out</t>
  </si>
  <si>
    <t>0 - Up and Out                                                   1 - Expires (now check ITM/OTM)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</si>
</sst>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-#,##0.00;#,##0.00;&quot;--&quot;"/>
    <numFmt numFmtId="165" formatCode="dd\-mmm\-yyyy"/>
    <numFmt numFmtId="166" formatCode="0.000%"/>
    <numFmt numFmtId="167" formatCode="0.0000%"/>
    <numFmt numFmtId="168" formatCode="0.0000"/>
    <numFmt numFmtId="169" formatCode="_ * #,##0.000_ ;_ * \-#,##0.000_ ;_ * &quot;-&quot;??_ ;_ @_ "/>
    <numFmt numFmtId="170" formatCode="_ * #,##0.00000_ ;_ * \-#,##0.00000_ ;_ * &quot;-&quot;??_ ;_ @_ "/>
  </numFmts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NumberFormat="0" applyBorder="0" applyAlignment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1" xfId="0" applyNumberFormat="1" applyFont="1" applyBorder="1"/>
    <xf numFmtId="166" fontId="1" fillId="0" borderId="0" xfId="2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167" fontId="1" fillId="0" borderId="0" xfId="2" applyNumberFormat="1" applyFont="1"/>
    <xf numFmtId="164" fontId="2" fillId="0" borderId="0" xfId="0" applyNumberFormat="1" applyFont="1"/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5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43" fontId="1" fillId="0" borderId="0" xfId="1" applyFont="1" applyAlignment="1">
      <alignment vertical="center"/>
    </xf>
    <xf numFmtId="166" fontId="1" fillId="0" borderId="0" xfId="2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166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vertical="center"/>
    </xf>
    <xf numFmtId="169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169" fontId="2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43" fontId="2" fillId="0" borderId="0" xfId="0" applyNumberFormat="1" applyFont="1" applyAlignment="1">
      <alignment horizontal="right" vertical="center"/>
    </xf>
    <xf numFmtId="43" fontId="2" fillId="0" borderId="0" xfId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Close Price</a:t>
            </a:r>
            <a:r>
              <a:rPr lang="en-IN" baseline="0"/>
              <a:t> NIFTY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'NIFTY - Simple Naive Forecastin'!$A$2:$A$1240</c:f>
              <c:numCache>
                <c:formatCode>dd\-mmm\-yyyy</c:formatCode>
                <c:ptCount val="1239"/>
                <c:pt idx="0">
                  <c:v>44428</c:v>
                </c:pt>
                <c:pt idx="1">
                  <c:v>44431</c:v>
                </c:pt>
                <c:pt idx="2">
                  <c:v>44432</c:v>
                </c:pt>
                <c:pt idx="3">
                  <c:v>44433</c:v>
                </c:pt>
                <c:pt idx="4">
                  <c:v>44434</c:v>
                </c:pt>
                <c:pt idx="5">
                  <c:v>44435</c:v>
                </c:pt>
                <c:pt idx="6">
                  <c:v>44438</c:v>
                </c:pt>
                <c:pt idx="7">
                  <c:v>44439</c:v>
                </c:pt>
                <c:pt idx="8">
                  <c:v>44440</c:v>
                </c:pt>
                <c:pt idx="9">
                  <c:v>44441</c:v>
                </c:pt>
                <c:pt idx="10">
                  <c:v>44442</c:v>
                </c:pt>
                <c:pt idx="11">
                  <c:v>44445</c:v>
                </c:pt>
                <c:pt idx="12">
                  <c:v>44446</c:v>
                </c:pt>
                <c:pt idx="13">
                  <c:v>44447</c:v>
                </c:pt>
                <c:pt idx="14">
                  <c:v>44448</c:v>
                </c:pt>
                <c:pt idx="15">
                  <c:v>44452</c:v>
                </c:pt>
                <c:pt idx="16">
                  <c:v>44453</c:v>
                </c:pt>
                <c:pt idx="17">
                  <c:v>44454</c:v>
                </c:pt>
                <c:pt idx="18">
                  <c:v>44455</c:v>
                </c:pt>
                <c:pt idx="19">
                  <c:v>44456</c:v>
                </c:pt>
                <c:pt idx="20">
                  <c:v>44459</c:v>
                </c:pt>
                <c:pt idx="21">
                  <c:v>44460</c:v>
                </c:pt>
                <c:pt idx="22">
                  <c:v>44461</c:v>
                </c:pt>
                <c:pt idx="23">
                  <c:v>44462</c:v>
                </c:pt>
                <c:pt idx="24">
                  <c:v>44463</c:v>
                </c:pt>
                <c:pt idx="25">
                  <c:v>44466</c:v>
                </c:pt>
                <c:pt idx="26">
                  <c:v>44467</c:v>
                </c:pt>
                <c:pt idx="27">
                  <c:v>44468</c:v>
                </c:pt>
                <c:pt idx="28">
                  <c:v>44469</c:v>
                </c:pt>
                <c:pt idx="29">
                  <c:v>44470</c:v>
                </c:pt>
                <c:pt idx="30">
                  <c:v>44473</c:v>
                </c:pt>
                <c:pt idx="31">
                  <c:v>44474</c:v>
                </c:pt>
                <c:pt idx="32">
                  <c:v>44475</c:v>
                </c:pt>
                <c:pt idx="33">
                  <c:v>44476</c:v>
                </c:pt>
                <c:pt idx="34">
                  <c:v>44477</c:v>
                </c:pt>
                <c:pt idx="35">
                  <c:v>44480</c:v>
                </c:pt>
                <c:pt idx="36">
                  <c:v>44481</c:v>
                </c:pt>
                <c:pt idx="37">
                  <c:v>44482</c:v>
                </c:pt>
                <c:pt idx="38">
                  <c:v>44483</c:v>
                </c:pt>
                <c:pt idx="39">
                  <c:v>44487</c:v>
                </c:pt>
                <c:pt idx="40">
                  <c:v>44488</c:v>
                </c:pt>
                <c:pt idx="41">
                  <c:v>44489</c:v>
                </c:pt>
                <c:pt idx="42">
                  <c:v>44490</c:v>
                </c:pt>
                <c:pt idx="43">
                  <c:v>44491</c:v>
                </c:pt>
                <c:pt idx="44">
                  <c:v>44494</c:v>
                </c:pt>
                <c:pt idx="45">
                  <c:v>44495</c:v>
                </c:pt>
                <c:pt idx="46">
                  <c:v>44496</c:v>
                </c:pt>
                <c:pt idx="47">
                  <c:v>44497</c:v>
                </c:pt>
                <c:pt idx="48">
                  <c:v>44498</c:v>
                </c:pt>
                <c:pt idx="49">
                  <c:v>44501</c:v>
                </c:pt>
                <c:pt idx="50">
                  <c:v>44502</c:v>
                </c:pt>
                <c:pt idx="51">
                  <c:v>44503</c:v>
                </c:pt>
                <c:pt idx="52">
                  <c:v>44504</c:v>
                </c:pt>
                <c:pt idx="53">
                  <c:v>44508</c:v>
                </c:pt>
                <c:pt idx="54">
                  <c:v>44509</c:v>
                </c:pt>
                <c:pt idx="55">
                  <c:v>44510</c:v>
                </c:pt>
                <c:pt idx="56">
                  <c:v>44511</c:v>
                </c:pt>
                <c:pt idx="57">
                  <c:v>44512</c:v>
                </c:pt>
                <c:pt idx="58">
                  <c:v>44515</c:v>
                </c:pt>
                <c:pt idx="59">
                  <c:v>44516</c:v>
                </c:pt>
                <c:pt idx="60">
                  <c:v>44517</c:v>
                </c:pt>
                <c:pt idx="61">
                  <c:v>44518</c:v>
                </c:pt>
                <c:pt idx="62">
                  <c:v>44522</c:v>
                </c:pt>
                <c:pt idx="63">
                  <c:v>44523</c:v>
                </c:pt>
                <c:pt idx="64">
                  <c:v>44524</c:v>
                </c:pt>
                <c:pt idx="65">
                  <c:v>44525</c:v>
                </c:pt>
                <c:pt idx="66">
                  <c:v>44526</c:v>
                </c:pt>
                <c:pt idx="67">
                  <c:v>44529</c:v>
                </c:pt>
                <c:pt idx="68">
                  <c:v>44530</c:v>
                </c:pt>
                <c:pt idx="69">
                  <c:v>44531</c:v>
                </c:pt>
                <c:pt idx="70">
                  <c:v>44532</c:v>
                </c:pt>
                <c:pt idx="71">
                  <c:v>44533</c:v>
                </c:pt>
                <c:pt idx="72">
                  <c:v>44536</c:v>
                </c:pt>
                <c:pt idx="73">
                  <c:v>44537</c:v>
                </c:pt>
                <c:pt idx="74">
                  <c:v>44538</c:v>
                </c:pt>
                <c:pt idx="75">
                  <c:v>44539</c:v>
                </c:pt>
                <c:pt idx="76">
                  <c:v>44540</c:v>
                </c:pt>
                <c:pt idx="77">
                  <c:v>44543</c:v>
                </c:pt>
                <c:pt idx="78">
                  <c:v>44544</c:v>
                </c:pt>
                <c:pt idx="79">
                  <c:v>44545</c:v>
                </c:pt>
                <c:pt idx="80">
                  <c:v>44546</c:v>
                </c:pt>
                <c:pt idx="81">
                  <c:v>44547</c:v>
                </c:pt>
                <c:pt idx="82">
                  <c:v>44550</c:v>
                </c:pt>
                <c:pt idx="83">
                  <c:v>44551</c:v>
                </c:pt>
                <c:pt idx="84">
                  <c:v>44552</c:v>
                </c:pt>
                <c:pt idx="85">
                  <c:v>44553</c:v>
                </c:pt>
                <c:pt idx="86">
                  <c:v>44554</c:v>
                </c:pt>
                <c:pt idx="87">
                  <c:v>44557</c:v>
                </c:pt>
                <c:pt idx="88">
                  <c:v>44558</c:v>
                </c:pt>
                <c:pt idx="89">
                  <c:v>44559</c:v>
                </c:pt>
                <c:pt idx="90">
                  <c:v>44560</c:v>
                </c:pt>
                <c:pt idx="91">
                  <c:v>44561</c:v>
                </c:pt>
                <c:pt idx="92">
                  <c:v>44564</c:v>
                </c:pt>
                <c:pt idx="93">
                  <c:v>44565</c:v>
                </c:pt>
                <c:pt idx="94">
                  <c:v>44566</c:v>
                </c:pt>
                <c:pt idx="95">
                  <c:v>44567</c:v>
                </c:pt>
                <c:pt idx="96">
                  <c:v>44568</c:v>
                </c:pt>
                <c:pt idx="97">
                  <c:v>44571</c:v>
                </c:pt>
                <c:pt idx="98">
                  <c:v>44572</c:v>
                </c:pt>
                <c:pt idx="99">
                  <c:v>44573</c:v>
                </c:pt>
                <c:pt idx="100">
                  <c:v>44574</c:v>
                </c:pt>
                <c:pt idx="101">
                  <c:v>44575</c:v>
                </c:pt>
                <c:pt idx="102">
                  <c:v>44578</c:v>
                </c:pt>
                <c:pt idx="103">
                  <c:v>44579</c:v>
                </c:pt>
                <c:pt idx="104">
                  <c:v>44580</c:v>
                </c:pt>
                <c:pt idx="105">
                  <c:v>44581</c:v>
                </c:pt>
                <c:pt idx="106">
                  <c:v>44582</c:v>
                </c:pt>
                <c:pt idx="107">
                  <c:v>44585</c:v>
                </c:pt>
                <c:pt idx="108">
                  <c:v>44586</c:v>
                </c:pt>
                <c:pt idx="109">
                  <c:v>44588</c:v>
                </c:pt>
                <c:pt idx="110">
                  <c:v>44589</c:v>
                </c:pt>
                <c:pt idx="111">
                  <c:v>44592</c:v>
                </c:pt>
                <c:pt idx="112">
                  <c:v>44593</c:v>
                </c:pt>
                <c:pt idx="113">
                  <c:v>44594</c:v>
                </c:pt>
                <c:pt idx="114">
                  <c:v>44595</c:v>
                </c:pt>
                <c:pt idx="115">
                  <c:v>44596</c:v>
                </c:pt>
                <c:pt idx="116">
                  <c:v>44599</c:v>
                </c:pt>
                <c:pt idx="117">
                  <c:v>44600</c:v>
                </c:pt>
                <c:pt idx="118">
                  <c:v>44601</c:v>
                </c:pt>
                <c:pt idx="119">
                  <c:v>44602</c:v>
                </c:pt>
                <c:pt idx="120">
                  <c:v>44603</c:v>
                </c:pt>
                <c:pt idx="121">
                  <c:v>44606</c:v>
                </c:pt>
                <c:pt idx="122">
                  <c:v>44607</c:v>
                </c:pt>
                <c:pt idx="123">
                  <c:v>44608</c:v>
                </c:pt>
                <c:pt idx="124">
                  <c:v>44609</c:v>
                </c:pt>
                <c:pt idx="125">
                  <c:v>44610</c:v>
                </c:pt>
                <c:pt idx="126">
                  <c:v>44613</c:v>
                </c:pt>
                <c:pt idx="127">
                  <c:v>44614</c:v>
                </c:pt>
                <c:pt idx="128">
                  <c:v>44615</c:v>
                </c:pt>
                <c:pt idx="129">
                  <c:v>44616</c:v>
                </c:pt>
                <c:pt idx="130">
                  <c:v>44617</c:v>
                </c:pt>
                <c:pt idx="131">
                  <c:v>44620</c:v>
                </c:pt>
                <c:pt idx="132">
                  <c:v>44622</c:v>
                </c:pt>
                <c:pt idx="133">
                  <c:v>44623</c:v>
                </c:pt>
                <c:pt idx="134">
                  <c:v>44624</c:v>
                </c:pt>
                <c:pt idx="135">
                  <c:v>44627</c:v>
                </c:pt>
                <c:pt idx="136">
                  <c:v>44628</c:v>
                </c:pt>
                <c:pt idx="137">
                  <c:v>44629</c:v>
                </c:pt>
                <c:pt idx="138">
                  <c:v>44630</c:v>
                </c:pt>
                <c:pt idx="139">
                  <c:v>44631</c:v>
                </c:pt>
                <c:pt idx="140">
                  <c:v>44634</c:v>
                </c:pt>
                <c:pt idx="141">
                  <c:v>44635</c:v>
                </c:pt>
                <c:pt idx="142">
                  <c:v>44636</c:v>
                </c:pt>
                <c:pt idx="143">
                  <c:v>44637</c:v>
                </c:pt>
                <c:pt idx="144">
                  <c:v>44641</c:v>
                </c:pt>
                <c:pt idx="145">
                  <c:v>44642</c:v>
                </c:pt>
                <c:pt idx="146">
                  <c:v>44643</c:v>
                </c:pt>
                <c:pt idx="147">
                  <c:v>44644</c:v>
                </c:pt>
                <c:pt idx="148">
                  <c:v>44645</c:v>
                </c:pt>
                <c:pt idx="149">
                  <c:v>44648</c:v>
                </c:pt>
                <c:pt idx="150">
                  <c:v>44649</c:v>
                </c:pt>
                <c:pt idx="151">
                  <c:v>44650</c:v>
                </c:pt>
                <c:pt idx="152">
                  <c:v>44651</c:v>
                </c:pt>
                <c:pt idx="153">
                  <c:v>44652</c:v>
                </c:pt>
                <c:pt idx="154">
                  <c:v>44655</c:v>
                </c:pt>
                <c:pt idx="155">
                  <c:v>44656</c:v>
                </c:pt>
                <c:pt idx="156">
                  <c:v>44657</c:v>
                </c:pt>
                <c:pt idx="157">
                  <c:v>44658</c:v>
                </c:pt>
                <c:pt idx="158">
                  <c:v>44659</c:v>
                </c:pt>
                <c:pt idx="159">
                  <c:v>44662</c:v>
                </c:pt>
                <c:pt idx="160">
                  <c:v>44663</c:v>
                </c:pt>
                <c:pt idx="161">
                  <c:v>44664</c:v>
                </c:pt>
                <c:pt idx="162">
                  <c:v>44669</c:v>
                </c:pt>
                <c:pt idx="163">
                  <c:v>44670</c:v>
                </c:pt>
                <c:pt idx="164">
                  <c:v>44671</c:v>
                </c:pt>
                <c:pt idx="165">
                  <c:v>44672</c:v>
                </c:pt>
                <c:pt idx="166">
                  <c:v>44673</c:v>
                </c:pt>
                <c:pt idx="167">
                  <c:v>44676</c:v>
                </c:pt>
                <c:pt idx="168">
                  <c:v>44677</c:v>
                </c:pt>
                <c:pt idx="169">
                  <c:v>44678</c:v>
                </c:pt>
                <c:pt idx="170">
                  <c:v>44679</c:v>
                </c:pt>
                <c:pt idx="171">
                  <c:v>44680</c:v>
                </c:pt>
                <c:pt idx="172">
                  <c:v>44683</c:v>
                </c:pt>
                <c:pt idx="173">
                  <c:v>44685</c:v>
                </c:pt>
                <c:pt idx="174">
                  <c:v>44686</c:v>
                </c:pt>
                <c:pt idx="175">
                  <c:v>44687</c:v>
                </c:pt>
                <c:pt idx="176">
                  <c:v>44690</c:v>
                </c:pt>
                <c:pt idx="177">
                  <c:v>44691</c:v>
                </c:pt>
                <c:pt idx="178">
                  <c:v>44692</c:v>
                </c:pt>
                <c:pt idx="179">
                  <c:v>44693</c:v>
                </c:pt>
                <c:pt idx="180">
                  <c:v>44694</c:v>
                </c:pt>
                <c:pt idx="181">
                  <c:v>44697</c:v>
                </c:pt>
                <c:pt idx="182">
                  <c:v>44698</c:v>
                </c:pt>
                <c:pt idx="183">
                  <c:v>44699</c:v>
                </c:pt>
                <c:pt idx="184">
                  <c:v>44700</c:v>
                </c:pt>
                <c:pt idx="185">
                  <c:v>44701</c:v>
                </c:pt>
                <c:pt idx="186">
                  <c:v>44704</c:v>
                </c:pt>
                <c:pt idx="187">
                  <c:v>44705</c:v>
                </c:pt>
                <c:pt idx="188">
                  <c:v>44706</c:v>
                </c:pt>
                <c:pt idx="189">
                  <c:v>44707</c:v>
                </c:pt>
                <c:pt idx="190">
                  <c:v>44708</c:v>
                </c:pt>
                <c:pt idx="191">
                  <c:v>44711</c:v>
                </c:pt>
                <c:pt idx="192">
                  <c:v>44712</c:v>
                </c:pt>
                <c:pt idx="193">
                  <c:v>44713</c:v>
                </c:pt>
                <c:pt idx="194">
                  <c:v>44714</c:v>
                </c:pt>
                <c:pt idx="195">
                  <c:v>44715</c:v>
                </c:pt>
                <c:pt idx="196">
                  <c:v>44718</c:v>
                </c:pt>
                <c:pt idx="197">
                  <c:v>44719</c:v>
                </c:pt>
                <c:pt idx="198">
                  <c:v>44720</c:v>
                </c:pt>
                <c:pt idx="199">
                  <c:v>44721</c:v>
                </c:pt>
                <c:pt idx="200">
                  <c:v>44722</c:v>
                </c:pt>
                <c:pt idx="201">
                  <c:v>44725</c:v>
                </c:pt>
                <c:pt idx="202">
                  <c:v>44726</c:v>
                </c:pt>
                <c:pt idx="203">
                  <c:v>44727</c:v>
                </c:pt>
                <c:pt idx="204">
                  <c:v>44728</c:v>
                </c:pt>
                <c:pt idx="205">
                  <c:v>44729</c:v>
                </c:pt>
                <c:pt idx="206">
                  <c:v>44732</c:v>
                </c:pt>
                <c:pt idx="207">
                  <c:v>44733</c:v>
                </c:pt>
                <c:pt idx="208">
                  <c:v>44734</c:v>
                </c:pt>
                <c:pt idx="209">
                  <c:v>44735</c:v>
                </c:pt>
                <c:pt idx="210">
                  <c:v>44736</c:v>
                </c:pt>
                <c:pt idx="211">
                  <c:v>44739</c:v>
                </c:pt>
                <c:pt idx="212">
                  <c:v>44740</c:v>
                </c:pt>
                <c:pt idx="213">
                  <c:v>44741</c:v>
                </c:pt>
                <c:pt idx="214">
                  <c:v>44742</c:v>
                </c:pt>
                <c:pt idx="215">
                  <c:v>44743</c:v>
                </c:pt>
                <c:pt idx="216">
                  <c:v>44746</c:v>
                </c:pt>
                <c:pt idx="217">
                  <c:v>44747</c:v>
                </c:pt>
                <c:pt idx="218">
                  <c:v>44748</c:v>
                </c:pt>
                <c:pt idx="219">
                  <c:v>44749</c:v>
                </c:pt>
                <c:pt idx="220">
                  <c:v>44750</c:v>
                </c:pt>
                <c:pt idx="221">
                  <c:v>44753</c:v>
                </c:pt>
                <c:pt idx="222">
                  <c:v>44754</c:v>
                </c:pt>
                <c:pt idx="223">
                  <c:v>44755</c:v>
                </c:pt>
                <c:pt idx="224">
                  <c:v>44756</c:v>
                </c:pt>
                <c:pt idx="225">
                  <c:v>44757</c:v>
                </c:pt>
                <c:pt idx="226">
                  <c:v>44760</c:v>
                </c:pt>
                <c:pt idx="227">
                  <c:v>44761</c:v>
                </c:pt>
                <c:pt idx="228">
                  <c:v>44762</c:v>
                </c:pt>
                <c:pt idx="229">
                  <c:v>44763</c:v>
                </c:pt>
                <c:pt idx="230">
                  <c:v>44764</c:v>
                </c:pt>
                <c:pt idx="231">
                  <c:v>44767</c:v>
                </c:pt>
                <c:pt idx="232">
                  <c:v>44768</c:v>
                </c:pt>
                <c:pt idx="233">
                  <c:v>44769</c:v>
                </c:pt>
                <c:pt idx="234">
                  <c:v>44770</c:v>
                </c:pt>
                <c:pt idx="235">
                  <c:v>44771</c:v>
                </c:pt>
                <c:pt idx="236">
                  <c:v>44774</c:v>
                </c:pt>
                <c:pt idx="237">
                  <c:v>44775</c:v>
                </c:pt>
                <c:pt idx="238">
                  <c:v>44776</c:v>
                </c:pt>
                <c:pt idx="239">
                  <c:v>44777</c:v>
                </c:pt>
                <c:pt idx="240">
                  <c:v>44778</c:v>
                </c:pt>
                <c:pt idx="241">
                  <c:v>44781</c:v>
                </c:pt>
                <c:pt idx="242">
                  <c:v>44783</c:v>
                </c:pt>
                <c:pt idx="243">
                  <c:v>44784</c:v>
                </c:pt>
                <c:pt idx="244">
                  <c:v>44785</c:v>
                </c:pt>
                <c:pt idx="245">
                  <c:v>44789</c:v>
                </c:pt>
                <c:pt idx="246">
                  <c:v>44790</c:v>
                </c:pt>
                <c:pt idx="247">
                  <c:v>44791</c:v>
                </c:pt>
                <c:pt idx="248">
                  <c:v>44792</c:v>
                </c:pt>
                <c:pt idx="249">
                  <c:v>44795</c:v>
                </c:pt>
                <c:pt idx="250">
                  <c:v>44796</c:v>
                </c:pt>
                <c:pt idx="251">
                  <c:v>44797</c:v>
                </c:pt>
                <c:pt idx="252">
                  <c:v>44798</c:v>
                </c:pt>
                <c:pt idx="253">
                  <c:v>44799</c:v>
                </c:pt>
                <c:pt idx="254">
                  <c:v>44802</c:v>
                </c:pt>
                <c:pt idx="255">
                  <c:v>44803</c:v>
                </c:pt>
                <c:pt idx="256">
                  <c:v>44805</c:v>
                </c:pt>
                <c:pt idx="257">
                  <c:v>44806</c:v>
                </c:pt>
                <c:pt idx="258">
                  <c:v>44809</c:v>
                </c:pt>
                <c:pt idx="259">
                  <c:v>44810</c:v>
                </c:pt>
                <c:pt idx="260">
                  <c:v>44811</c:v>
                </c:pt>
                <c:pt idx="261">
                  <c:v>44812</c:v>
                </c:pt>
                <c:pt idx="262">
                  <c:v>44813</c:v>
                </c:pt>
                <c:pt idx="263">
                  <c:v>44816</c:v>
                </c:pt>
                <c:pt idx="264">
                  <c:v>44817</c:v>
                </c:pt>
                <c:pt idx="265">
                  <c:v>44818</c:v>
                </c:pt>
                <c:pt idx="266">
                  <c:v>44819</c:v>
                </c:pt>
                <c:pt idx="267">
                  <c:v>44820</c:v>
                </c:pt>
                <c:pt idx="268">
                  <c:v>44823</c:v>
                </c:pt>
                <c:pt idx="269">
                  <c:v>44824</c:v>
                </c:pt>
                <c:pt idx="270">
                  <c:v>44825</c:v>
                </c:pt>
                <c:pt idx="271">
                  <c:v>44826</c:v>
                </c:pt>
                <c:pt idx="272">
                  <c:v>44827</c:v>
                </c:pt>
                <c:pt idx="273">
                  <c:v>44830</c:v>
                </c:pt>
                <c:pt idx="274">
                  <c:v>44831</c:v>
                </c:pt>
                <c:pt idx="275">
                  <c:v>44832</c:v>
                </c:pt>
                <c:pt idx="276">
                  <c:v>44833</c:v>
                </c:pt>
                <c:pt idx="277">
                  <c:v>44834</c:v>
                </c:pt>
                <c:pt idx="278">
                  <c:v>44837</c:v>
                </c:pt>
                <c:pt idx="279">
                  <c:v>44838</c:v>
                </c:pt>
                <c:pt idx="280">
                  <c:v>44840</c:v>
                </c:pt>
                <c:pt idx="281">
                  <c:v>44841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44851</c:v>
                </c:pt>
                <c:pt idx="288">
                  <c:v>44852</c:v>
                </c:pt>
                <c:pt idx="289">
                  <c:v>44853</c:v>
                </c:pt>
                <c:pt idx="290">
                  <c:v>44854</c:v>
                </c:pt>
                <c:pt idx="291">
                  <c:v>44855</c:v>
                </c:pt>
                <c:pt idx="292">
                  <c:v>44858</c:v>
                </c:pt>
                <c:pt idx="293">
                  <c:v>44859</c:v>
                </c:pt>
                <c:pt idx="294">
                  <c:v>44861</c:v>
                </c:pt>
                <c:pt idx="295">
                  <c:v>44862</c:v>
                </c:pt>
                <c:pt idx="296">
                  <c:v>44865</c:v>
                </c:pt>
                <c:pt idx="297">
                  <c:v>44866</c:v>
                </c:pt>
                <c:pt idx="298">
                  <c:v>44867</c:v>
                </c:pt>
                <c:pt idx="299">
                  <c:v>44868</c:v>
                </c:pt>
                <c:pt idx="300">
                  <c:v>44869</c:v>
                </c:pt>
                <c:pt idx="301">
                  <c:v>44872</c:v>
                </c:pt>
                <c:pt idx="302">
                  <c:v>44874</c:v>
                </c:pt>
                <c:pt idx="303">
                  <c:v>44875</c:v>
                </c:pt>
                <c:pt idx="304">
                  <c:v>44876</c:v>
                </c:pt>
                <c:pt idx="305">
                  <c:v>44879</c:v>
                </c:pt>
                <c:pt idx="306">
                  <c:v>44880</c:v>
                </c:pt>
                <c:pt idx="307">
                  <c:v>44881</c:v>
                </c:pt>
                <c:pt idx="308">
                  <c:v>44882</c:v>
                </c:pt>
                <c:pt idx="309">
                  <c:v>44883</c:v>
                </c:pt>
                <c:pt idx="310">
                  <c:v>44886</c:v>
                </c:pt>
                <c:pt idx="311">
                  <c:v>44887</c:v>
                </c:pt>
                <c:pt idx="312">
                  <c:v>44888</c:v>
                </c:pt>
                <c:pt idx="313">
                  <c:v>44889</c:v>
                </c:pt>
                <c:pt idx="314">
                  <c:v>44890</c:v>
                </c:pt>
                <c:pt idx="315">
                  <c:v>44893</c:v>
                </c:pt>
                <c:pt idx="316">
                  <c:v>44894</c:v>
                </c:pt>
                <c:pt idx="317">
                  <c:v>44895</c:v>
                </c:pt>
                <c:pt idx="318">
                  <c:v>44896</c:v>
                </c:pt>
                <c:pt idx="319">
                  <c:v>44897</c:v>
                </c:pt>
                <c:pt idx="320">
                  <c:v>44900</c:v>
                </c:pt>
                <c:pt idx="321">
                  <c:v>44901</c:v>
                </c:pt>
                <c:pt idx="322">
                  <c:v>44902</c:v>
                </c:pt>
                <c:pt idx="323">
                  <c:v>44903</c:v>
                </c:pt>
                <c:pt idx="324">
                  <c:v>44904</c:v>
                </c:pt>
                <c:pt idx="325">
                  <c:v>44907</c:v>
                </c:pt>
                <c:pt idx="326">
                  <c:v>44908</c:v>
                </c:pt>
                <c:pt idx="327">
                  <c:v>44909</c:v>
                </c:pt>
                <c:pt idx="328">
                  <c:v>44910</c:v>
                </c:pt>
                <c:pt idx="329">
                  <c:v>44911</c:v>
                </c:pt>
                <c:pt idx="330">
                  <c:v>44914</c:v>
                </c:pt>
                <c:pt idx="331">
                  <c:v>44915</c:v>
                </c:pt>
                <c:pt idx="332">
                  <c:v>44916</c:v>
                </c:pt>
                <c:pt idx="333">
                  <c:v>44917</c:v>
                </c:pt>
                <c:pt idx="334">
                  <c:v>44918</c:v>
                </c:pt>
                <c:pt idx="335">
                  <c:v>44921</c:v>
                </c:pt>
                <c:pt idx="336">
                  <c:v>44922</c:v>
                </c:pt>
                <c:pt idx="337">
                  <c:v>44923</c:v>
                </c:pt>
                <c:pt idx="338">
                  <c:v>44924</c:v>
                </c:pt>
                <c:pt idx="339">
                  <c:v>44925</c:v>
                </c:pt>
                <c:pt idx="340">
                  <c:v>44928</c:v>
                </c:pt>
                <c:pt idx="341">
                  <c:v>44929</c:v>
                </c:pt>
                <c:pt idx="342">
                  <c:v>44930</c:v>
                </c:pt>
                <c:pt idx="343">
                  <c:v>44931</c:v>
                </c:pt>
                <c:pt idx="344">
                  <c:v>44932</c:v>
                </c:pt>
                <c:pt idx="345">
                  <c:v>44935</c:v>
                </c:pt>
                <c:pt idx="346">
                  <c:v>44936</c:v>
                </c:pt>
                <c:pt idx="347">
                  <c:v>44937</c:v>
                </c:pt>
                <c:pt idx="348">
                  <c:v>44938</c:v>
                </c:pt>
                <c:pt idx="349">
                  <c:v>44939</c:v>
                </c:pt>
                <c:pt idx="350">
                  <c:v>44942</c:v>
                </c:pt>
                <c:pt idx="351">
                  <c:v>44943</c:v>
                </c:pt>
                <c:pt idx="352">
                  <c:v>44944</c:v>
                </c:pt>
                <c:pt idx="353">
                  <c:v>44945</c:v>
                </c:pt>
                <c:pt idx="354">
                  <c:v>44946</c:v>
                </c:pt>
                <c:pt idx="355">
                  <c:v>44949</c:v>
                </c:pt>
                <c:pt idx="356">
                  <c:v>44950</c:v>
                </c:pt>
                <c:pt idx="357">
                  <c:v>44951</c:v>
                </c:pt>
                <c:pt idx="358">
                  <c:v>44953</c:v>
                </c:pt>
                <c:pt idx="359">
                  <c:v>44956</c:v>
                </c:pt>
                <c:pt idx="360">
                  <c:v>44957</c:v>
                </c:pt>
                <c:pt idx="361">
                  <c:v>44958</c:v>
                </c:pt>
                <c:pt idx="362">
                  <c:v>44959</c:v>
                </c:pt>
                <c:pt idx="363">
                  <c:v>44960</c:v>
                </c:pt>
                <c:pt idx="364">
                  <c:v>44963</c:v>
                </c:pt>
                <c:pt idx="365">
                  <c:v>44964</c:v>
                </c:pt>
                <c:pt idx="366">
                  <c:v>44965</c:v>
                </c:pt>
                <c:pt idx="367">
                  <c:v>44966</c:v>
                </c:pt>
                <c:pt idx="368">
                  <c:v>44967</c:v>
                </c:pt>
                <c:pt idx="369">
                  <c:v>44970</c:v>
                </c:pt>
                <c:pt idx="370">
                  <c:v>44971</c:v>
                </c:pt>
                <c:pt idx="371">
                  <c:v>44972</c:v>
                </c:pt>
                <c:pt idx="372">
                  <c:v>44973</c:v>
                </c:pt>
                <c:pt idx="373">
                  <c:v>44974</c:v>
                </c:pt>
                <c:pt idx="374">
                  <c:v>44977</c:v>
                </c:pt>
                <c:pt idx="375">
                  <c:v>44978</c:v>
                </c:pt>
                <c:pt idx="376">
                  <c:v>44979</c:v>
                </c:pt>
                <c:pt idx="377">
                  <c:v>44980</c:v>
                </c:pt>
                <c:pt idx="378">
                  <c:v>44981</c:v>
                </c:pt>
                <c:pt idx="379">
                  <c:v>44984</c:v>
                </c:pt>
                <c:pt idx="380">
                  <c:v>44985</c:v>
                </c:pt>
                <c:pt idx="381">
                  <c:v>44986</c:v>
                </c:pt>
                <c:pt idx="382">
                  <c:v>44987</c:v>
                </c:pt>
                <c:pt idx="383">
                  <c:v>44988</c:v>
                </c:pt>
                <c:pt idx="384">
                  <c:v>44991</c:v>
                </c:pt>
                <c:pt idx="385">
                  <c:v>44993</c:v>
                </c:pt>
                <c:pt idx="386">
                  <c:v>44994</c:v>
                </c:pt>
                <c:pt idx="387">
                  <c:v>44995</c:v>
                </c:pt>
                <c:pt idx="388">
                  <c:v>44998</c:v>
                </c:pt>
                <c:pt idx="389">
                  <c:v>44999</c:v>
                </c:pt>
                <c:pt idx="390">
                  <c:v>45000</c:v>
                </c:pt>
                <c:pt idx="391">
                  <c:v>45001</c:v>
                </c:pt>
                <c:pt idx="392">
                  <c:v>45002</c:v>
                </c:pt>
                <c:pt idx="393">
                  <c:v>45005</c:v>
                </c:pt>
                <c:pt idx="394">
                  <c:v>45006</c:v>
                </c:pt>
                <c:pt idx="395">
                  <c:v>45007</c:v>
                </c:pt>
                <c:pt idx="396">
                  <c:v>45008</c:v>
                </c:pt>
                <c:pt idx="397">
                  <c:v>45009</c:v>
                </c:pt>
                <c:pt idx="398">
                  <c:v>45012</c:v>
                </c:pt>
                <c:pt idx="399">
                  <c:v>45013</c:v>
                </c:pt>
                <c:pt idx="400">
                  <c:v>45014</c:v>
                </c:pt>
                <c:pt idx="401">
                  <c:v>45016</c:v>
                </c:pt>
                <c:pt idx="402">
                  <c:v>45019</c:v>
                </c:pt>
                <c:pt idx="403">
                  <c:v>45021</c:v>
                </c:pt>
                <c:pt idx="404">
                  <c:v>45022</c:v>
                </c:pt>
                <c:pt idx="405">
                  <c:v>45026</c:v>
                </c:pt>
                <c:pt idx="406">
                  <c:v>45027</c:v>
                </c:pt>
                <c:pt idx="407">
                  <c:v>45028</c:v>
                </c:pt>
                <c:pt idx="408">
                  <c:v>45029</c:v>
                </c:pt>
                <c:pt idx="409">
                  <c:v>45033</c:v>
                </c:pt>
                <c:pt idx="410">
                  <c:v>45034</c:v>
                </c:pt>
                <c:pt idx="411">
                  <c:v>45035</c:v>
                </c:pt>
                <c:pt idx="412">
                  <c:v>45036</c:v>
                </c:pt>
                <c:pt idx="413">
                  <c:v>45037</c:v>
                </c:pt>
                <c:pt idx="414">
                  <c:v>45040</c:v>
                </c:pt>
                <c:pt idx="415">
                  <c:v>45041</c:v>
                </c:pt>
                <c:pt idx="416">
                  <c:v>45042</c:v>
                </c:pt>
                <c:pt idx="417">
                  <c:v>45043</c:v>
                </c:pt>
                <c:pt idx="418">
                  <c:v>45044</c:v>
                </c:pt>
                <c:pt idx="419">
                  <c:v>45048</c:v>
                </c:pt>
                <c:pt idx="420">
                  <c:v>45049</c:v>
                </c:pt>
                <c:pt idx="421">
                  <c:v>45050</c:v>
                </c:pt>
                <c:pt idx="422">
                  <c:v>45051</c:v>
                </c:pt>
                <c:pt idx="423">
                  <c:v>45054</c:v>
                </c:pt>
                <c:pt idx="424">
                  <c:v>45055</c:v>
                </c:pt>
                <c:pt idx="425">
                  <c:v>45056</c:v>
                </c:pt>
                <c:pt idx="426">
                  <c:v>45057</c:v>
                </c:pt>
                <c:pt idx="427">
                  <c:v>45058</c:v>
                </c:pt>
                <c:pt idx="428">
                  <c:v>45061</c:v>
                </c:pt>
                <c:pt idx="429">
                  <c:v>45062</c:v>
                </c:pt>
                <c:pt idx="430">
                  <c:v>45063</c:v>
                </c:pt>
                <c:pt idx="431">
                  <c:v>45064</c:v>
                </c:pt>
                <c:pt idx="432">
                  <c:v>45065</c:v>
                </c:pt>
                <c:pt idx="433">
                  <c:v>45068</c:v>
                </c:pt>
                <c:pt idx="434">
                  <c:v>45069</c:v>
                </c:pt>
                <c:pt idx="435">
                  <c:v>45070</c:v>
                </c:pt>
                <c:pt idx="436">
                  <c:v>45071</c:v>
                </c:pt>
                <c:pt idx="437">
                  <c:v>45072</c:v>
                </c:pt>
                <c:pt idx="438">
                  <c:v>45075</c:v>
                </c:pt>
                <c:pt idx="439">
                  <c:v>45076</c:v>
                </c:pt>
                <c:pt idx="440">
                  <c:v>45077</c:v>
                </c:pt>
                <c:pt idx="441">
                  <c:v>45078</c:v>
                </c:pt>
                <c:pt idx="442">
                  <c:v>45079</c:v>
                </c:pt>
                <c:pt idx="443">
                  <c:v>45082</c:v>
                </c:pt>
                <c:pt idx="444">
                  <c:v>45083</c:v>
                </c:pt>
                <c:pt idx="445">
                  <c:v>45084</c:v>
                </c:pt>
                <c:pt idx="446">
                  <c:v>45085</c:v>
                </c:pt>
                <c:pt idx="447">
                  <c:v>45086</c:v>
                </c:pt>
                <c:pt idx="448">
                  <c:v>45089</c:v>
                </c:pt>
                <c:pt idx="449">
                  <c:v>45090</c:v>
                </c:pt>
                <c:pt idx="450">
                  <c:v>45091</c:v>
                </c:pt>
                <c:pt idx="451">
                  <c:v>45092</c:v>
                </c:pt>
                <c:pt idx="452">
                  <c:v>45093</c:v>
                </c:pt>
                <c:pt idx="453">
                  <c:v>45096</c:v>
                </c:pt>
                <c:pt idx="454">
                  <c:v>45097</c:v>
                </c:pt>
                <c:pt idx="455">
                  <c:v>45098</c:v>
                </c:pt>
                <c:pt idx="456">
                  <c:v>45099</c:v>
                </c:pt>
                <c:pt idx="457">
                  <c:v>45100</c:v>
                </c:pt>
                <c:pt idx="458">
                  <c:v>45103</c:v>
                </c:pt>
                <c:pt idx="459">
                  <c:v>45104</c:v>
                </c:pt>
                <c:pt idx="460">
                  <c:v>45105</c:v>
                </c:pt>
                <c:pt idx="461">
                  <c:v>45107</c:v>
                </c:pt>
                <c:pt idx="462">
                  <c:v>45110</c:v>
                </c:pt>
                <c:pt idx="463">
                  <c:v>45111</c:v>
                </c:pt>
                <c:pt idx="464">
                  <c:v>45112</c:v>
                </c:pt>
                <c:pt idx="465">
                  <c:v>45113</c:v>
                </c:pt>
                <c:pt idx="466">
                  <c:v>45114</c:v>
                </c:pt>
                <c:pt idx="467">
                  <c:v>45117</c:v>
                </c:pt>
                <c:pt idx="468">
                  <c:v>45118</c:v>
                </c:pt>
                <c:pt idx="469">
                  <c:v>45119</c:v>
                </c:pt>
                <c:pt idx="470">
                  <c:v>45120</c:v>
                </c:pt>
                <c:pt idx="471">
                  <c:v>45121</c:v>
                </c:pt>
                <c:pt idx="472">
                  <c:v>45124</c:v>
                </c:pt>
                <c:pt idx="473">
                  <c:v>45125</c:v>
                </c:pt>
                <c:pt idx="474">
                  <c:v>45126</c:v>
                </c:pt>
                <c:pt idx="475">
                  <c:v>45127</c:v>
                </c:pt>
                <c:pt idx="476">
                  <c:v>45128</c:v>
                </c:pt>
                <c:pt idx="477">
                  <c:v>45131</c:v>
                </c:pt>
                <c:pt idx="478">
                  <c:v>45132</c:v>
                </c:pt>
                <c:pt idx="479">
                  <c:v>45133</c:v>
                </c:pt>
                <c:pt idx="480">
                  <c:v>45134</c:v>
                </c:pt>
                <c:pt idx="481">
                  <c:v>45135</c:v>
                </c:pt>
                <c:pt idx="482">
                  <c:v>45138</c:v>
                </c:pt>
                <c:pt idx="483">
                  <c:v>45139</c:v>
                </c:pt>
                <c:pt idx="484">
                  <c:v>45140</c:v>
                </c:pt>
                <c:pt idx="485">
                  <c:v>45141</c:v>
                </c:pt>
                <c:pt idx="486">
                  <c:v>45142</c:v>
                </c:pt>
                <c:pt idx="487">
                  <c:v>45145</c:v>
                </c:pt>
                <c:pt idx="488">
                  <c:v>45146</c:v>
                </c:pt>
                <c:pt idx="489">
                  <c:v>45147</c:v>
                </c:pt>
                <c:pt idx="490">
                  <c:v>45148</c:v>
                </c:pt>
                <c:pt idx="491">
                  <c:v>45149</c:v>
                </c:pt>
                <c:pt idx="492">
                  <c:v>45152</c:v>
                </c:pt>
                <c:pt idx="493">
                  <c:v>45154</c:v>
                </c:pt>
                <c:pt idx="494">
                  <c:v>45155</c:v>
                </c:pt>
                <c:pt idx="495">
                  <c:v>45156</c:v>
                </c:pt>
                <c:pt idx="496">
                  <c:v>45159</c:v>
                </c:pt>
                <c:pt idx="497">
                  <c:v>45160</c:v>
                </c:pt>
                <c:pt idx="498">
                  <c:v>45161</c:v>
                </c:pt>
                <c:pt idx="499">
                  <c:v>45162</c:v>
                </c:pt>
                <c:pt idx="500">
                  <c:v>45163</c:v>
                </c:pt>
                <c:pt idx="501">
                  <c:v>45166</c:v>
                </c:pt>
                <c:pt idx="502">
                  <c:v>45167</c:v>
                </c:pt>
                <c:pt idx="503">
                  <c:v>45168</c:v>
                </c:pt>
                <c:pt idx="504">
                  <c:v>45169</c:v>
                </c:pt>
                <c:pt idx="505">
                  <c:v>45170</c:v>
                </c:pt>
                <c:pt idx="506">
                  <c:v>45173</c:v>
                </c:pt>
                <c:pt idx="507">
                  <c:v>45174</c:v>
                </c:pt>
                <c:pt idx="508">
                  <c:v>45175</c:v>
                </c:pt>
                <c:pt idx="509">
                  <c:v>45176</c:v>
                </c:pt>
                <c:pt idx="510">
                  <c:v>45177</c:v>
                </c:pt>
                <c:pt idx="511">
                  <c:v>45180</c:v>
                </c:pt>
                <c:pt idx="512">
                  <c:v>45181</c:v>
                </c:pt>
                <c:pt idx="513">
                  <c:v>45182</c:v>
                </c:pt>
                <c:pt idx="514">
                  <c:v>45183</c:v>
                </c:pt>
                <c:pt idx="515">
                  <c:v>45184</c:v>
                </c:pt>
                <c:pt idx="516">
                  <c:v>45187</c:v>
                </c:pt>
                <c:pt idx="517">
                  <c:v>45189</c:v>
                </c:pt>
                <c:pt idx="518">
                  <c:v>45190</c:v>
                </c:pt>
                <c:pt idx="519">
                  <c:v>45191</c:v>
                </c:pt>
                <c:pt idx="520">
                  <c:v>45194</c:v>
                </c:pt>
                <c:pt idx="521">
                  <c:v>45195</c:v>
                </c:pt>
                <c:pt idx="522">
                  <c:v>45196</c:v>
                </c:pt>
                <c:pt idx="523">
                  <c:v>45197</c:v>
                </c:pt>
                <c:pt idx="524">
                  <c:v>45198</c:v>
                </c:pt>
                <c:pt idx="525">
                  <c:v>45202</c:v>
                </c:pt>
                <c:pt idx="526">
                  <c:v>45203</c:v>
                </c:pt>
                <c:pt idx="527">
                  <c:v>45204</c:v>
                </c:pt>
                <c:pt idx="528">
                  <c:v>45205</c:v>
                </c:pt>
                <c:pt idx="529">
                  <c:v>45208</c:v>
                </c:pt>
                <c:pt idx="530">
                  <c:v>45209</c:v>
                </c:pt>
                <c:pt idx="531">
                  <c:v>45210</c:v>
                </c:pt>
                <c:pt idx="532">
                  <c:v>45211</c:v>
                </c:pt>
                <c:pt idx="533">
                  <c:v>45212</c:v>
                </c:pt>
                <c:pt idx="534">
                  <c:v>45215</c:v>
                </c:pt>
                <c:pt idx="535">
                  <c:v>45216</c:v>
                </c:pt>
                <c:pt idx="536">
                  <c:v>45217</c:v>
                </c:pt>
                <c:pt idx="537">
                  <c:v>45218</c:v>
                </c:pt>
                <c:pt idx="538">
                  <c:v>45219</c:v>
                </c:pt>
                <c:pt idx="539">
                  <c:v>45222</c:v>
                </c:pt>
                <c:pt idx="540">
                  <c:v>45224</c:v>
                </c:pt>
                <c:pt idx="541">
                  <c:v>45225</c:v>
                </c:pt>
                <c:pt idx="542">
                  <c:v>45226</c:v>
                </c:pt>
                <c:pt idx="543">
                  <c:v>45229</c:v>
                </c:pt>
                <c:pt idx="544">
                  <c:v>45230</c:v>
                </c:pt>
                <c:pt idx="545">
                  <c:v>45231</c:v>
                </c:pt>
                <c:pt idx="546">
                  <c:v>45232</c:v>
                </c:pt>
                <c:pt idx="547">
                  <c:v>45233</c:v>
                </c:pt>
                <c:pt idx="548">
                  <c:v>45236</c:v>
                </c:pt>
                <c:pt idx="549">
                  <c:v>45237</c:v>
                </c:pt>
                <c:pt idx="550">
                  <c:v>45238</c:v>
                </c:pt>
                <c:pt idx="551">
                  <c:v>45239</c:v>
                </c:pt>
                <c:pt idx="552">
                  <c:v>45240</c:v>
                </c:pt>
                <c:pt idx="553">
                  <c:v>45242</c:v>
                </c:pt>
                <c:pt idx="554">
                  <c:v>45243</c:v>
                </c:pt>
                <c:pt idx="555">
                  <c:v>45245</c:v>
                </c:pt>
                <c:pt idx="556">
                  <c:v>45246</c:v>
                </c:pt>
                <c:pt idx="557">
                  <c:v>45247</c:v>
                </c:pt>
                <c:pt idx="558">
                  <c:v>45250</c:v>
                </c:pt>
                <c:pt idx="559">
                  <c:v>45251</c:v>
                </c:pt>
                <c:pt idx="560">
                  <c:v>45252</c:v>
                </c:pt>
                <c:pt idx="561">
                  <c:v>45253</c:v>
                </c:pt>
                <c:pt idx="562">
                  <c:v>45254</c:v>
                </c:pt>
                <c:pt idx="563">
                  <c:v>45258</c:v>
                </c:pt>
                <c:pt idx="564">
                  <c:v>45259</c:v>
                </c:pt>
                <c:pt idx="565">
                  <c:v>45260</c:v>
                </c:pt>
                <c:pt idx="566">
                  <c:v>45261</c:v>
                </c:pt>
                <c:pt idx="567">
                  <c:v>45264</c:v>
                </c:pt>
                <c:pt idx="568">
                  <c:v>45265</c:v>
                </c:pt>
                <c:pt idx="569">
                  <c:v>45266</c:v>
                </c:pt>
                <c:pt idx="570">
                  <c:v>45267</c:v>
                </c:pt>
                <c:pt idx="571">
                  <c:v>45268</c:v>
                </c:pt>
                <c:pt idx="572">
                  <c:v>45271</c:v>
                </c:pt>
                <c:pt idx="573">
                  <c:v>45272</c:v>
                </c:pt>
                <c:pt idx="574">
                  <c:v>45273</c:v>
                </c:pt>
                <c:pt idx="575">
                  <c:v>45274</c:v>
                </c:pt>
                <c:pt idx="576">
                  <c:v>45275</c:v>
                </c:pt>
                <c:pt idx="577">
                  <c:v>45278</c:v>
                </c:pt>
                <c:pt idx="578">
                  <c:v>45279</c:v>
                </c:pt>
                <c:pt idx="579">
                  <c:v>45280</c:v>
                </c:pt>
                <c:pt idx="580">
                  <c:v>45281</c:v>
                </c:pt>
                <c:pt idx="581">
                  <c:v>45282</c:v>
                </c:pt>
                <c:pt idx="582">
                  <c:v>45286</c:v>
                </c:pt>
                <c:pt idx="583">
                  <c:v>45287</c:v>
                </c:pt>
                <c:pt idx="584">
                  <c:v>45288</c:v>
                </c:pt>
                <c:pt idx="585">
                  <c:v>45289</c:v>
                </c:pt>
                <c:pt idx="586">
                  <c:v>45292</c:v>
                </c:pt>
                <c:pt idx="587">
                  <c:v>45293</c:v>
                </c:pt>
                <c:pt idx="588">
                  <c:v>45294</c:v>
                </c:pt>
                <c:pt idx="589">
                  <c:v>45295</c:v>
                </c:pt>
                <c:pt idx="590">
                  <c:v>45296</c:v>
                </c:pt>
                <c:pt idx="591">
                  <c:v>45299</c:v>
                </c:pt>
                <c:pt idx="592">
                  <c:v>45300</c:v>
                </c:pt>
                <c:pt idx="593">
                  <c:v>45301</c:v>
                </c:pt>
                <c:pt idx="594">
                  <c:v>45302</c:v>
                </c:pt>
                <c:pt idx="595">
                  <c:v>45303</c:v>
                </c:pt>
                <c:pt idx="596">
                  <c:v>45306</c:v>
                </c:pt>
                <c:pt idx="597">
                  <c:v>45307</c:v>
                </c:pt>
                <c:pt idx="598">
                  <c:v>45308</c:v>
                </c:pt>
                <c:pt idx="599">
                  <c:v>45309</c:v>
                </c:pt>
                <c:pt idx="600">
                  <c:v>45310</c:v>
                </c:pt>
                <c:pt idx="601">
                  <c:v>45311</c:v>
                </c:pt>
                <c:pt idx="602">
                  <c:v>45314</c:v>
                </c:pt>
                <c:pt idx="603">
                  <c:v>45315</c:v>
                </c:pt>
                <c:pt idx="604">
                  <c:v>45316</c:v>
                </c:pt>
                <c:pt idx="605">
                  <c:v>45320</c:v>
                </c:pt>
                <c:pt idx="606">
                  <c:v>45321</c:v>
                </c:pt>
                <c:pt idx="607">
                  <c:v>45322</c:v>
                </c:pt>
                <c:pt idx="608">
                  <c:v>45323</c:v>
                </c:pt>
                <c:pt idx="609">
                  <c:v>45324</c:v>
                </c:pt>
                <c:pt idx="610">
                  <c:v>45327</c:v>
                </c:pt>
                <c:pt idx="611">
                  <c:v>45328</c:v>
                </c:pt>
                <c:pt idx="612">
                  <c:v>45329</c:v>
                </c:pt>
                <c:pt idx="613">
                  <c:v>45330</c:v>
                </c:pt>
                <c:pt idx="614">
                  <c:v>45331</c:v>
                </c:pt>
                <c:pt idx="615">
                  <c:v>45334</c:v>
                </c:pt>
                <c:pt idx="616">
                  <c:v>45335</c:v>
                </c:pt>
                <c:pt idx="617">
                  <c:v>45336</c:v>
                </c:pt>
                <c:pt idx="618">
                  <c:v>45337</c:v>
                </c:pt>
                <c:pt idx="619">
                  <c:v>45338</c:v>
                </c:pt>
                <c:pt idx="620">
                  <c:v>45341</c:v>
                </c:pt>
                <c:pt idx="621">
                  <c:v>45342</c:v>
                </c:pt>
                <c:pt idx="622">
                  <c:v>45343</c:v>
                </c:pt>
                <c:pt idx="623">
                  <c:v>45344</c:v>
                </c:pt>
                <c:pt idx="624">
                  <c:v>45345</c:v>
                </c:pt>
                <c:pt idx="625">
                  <c:v>45348</c:v>
                </c:pt>
                <c:pt idx="626">
                  <c:v>45349</c:v>
                </c:pt>
                <c:pt idx="627">
                  <c:v>45350</c:v>
                </c:pt>
                <c:pt idx="628">
                  <c:v>45351</c:v>
                </c:pt>
                <c:pt idx="629">
                  <c:v>45352</c:v>
                </c:pt>
                <c:pt idx="630">
                  <c:v>45353</c:v>
                </c:pt>
                <c:pt idx="631">
                  <c:v>45355</c:v>
                </c:pt>
                <c:pt idx="632">
                  <c:v>45356</c:v>
                </c:pt>
                <c:pt idx="633">
                  <c:v>45357</c:v>
                </c:pt>
                <c:pt idx="634">
                  <c:v>45358</c:v>
                </c:pt>
                <c:pt idx="635">
                  <c:v>45362</c:v>
                </c:pt>
                <c:pt idx="636">
                  <c:v>45363</c:v>
                </c:pt>
                <c:pt idx="637">
                  <c:v>45364</c:v>
                </c:pt>
                <c:pt idx="638">
                  <c:v>45365</c:v>
                </c:pt>
                <c:pt idx="639">
                  <c:v>45366</c:v>
                </c:pt>
                <c:pt idx="640">
                  <c:v>45369</c:v>
                </c:pt>
                <c:pt idx="641">
                  <c:v>45370</c:v>
                </c:pt>
                <c:pt idx="642">
                  <c:v>45371</c:v>
                </c:pt>
                <c:pt idx="643">
                  <c:v>45372</c:v>
                </c:pt>
                <c:pt idx="644">
                  <c:v>45373</c:v>
                </c:pt>
                <c:pt idx="645">
                  <c:v>45377</c:v>
                </c:pt>
                <c:pt idx="646">
                  <c:v>45378</c:v>
                </c:pt>
                <c:pt idx="647">
                  <c:v>45379</c:v>
                </c:pt>
                <c:pt idx="648">
                  <c:v>45383</c:v>
                </c:pt>
                <c:pt idx="649">
                  <c:v>45384</c:v>
                </c:pt>
                <c:pt idx="650">
                  <c:v>45385</c:v>
                </c:pt>
                <c:pt idx="651">
                  <c:v>45386</c:v>
                </c:pt>
                <c:pt idx="652">
                  <c:v>45387</c:v>
                </c:pt>
                <c:pt idx="653">
                  <c:v>45390</c:v>
                </c:pt>
                <c:pt idx="654">
                  <c:v>45391</c:v>
                </c:pt>
                <c:pt idx="655">
                  <c:v>45392</c:v>
                </c:pt>
                <c:pt idx="656">
                  <c:v>45394</c:v>
                </c:pt>
                <c:pt idx="657">
                  <c:v>45397</c:v>
                </c:pt>
                <c:pt idx="658">
                  <c:v>45398</c:v>
                </c:pt>
                <c:pt idx="659">
                  <c:v>45400</c:v>
                </c:pt>
                <c:pt idx="660">
                  <c:v>45401</c:v>
                </c:pt>
                <c:pt idx="661">
                  <c:v>45404</c:v>
                </c:pt>
                <c:pt idx="662">
                  <c:v>45405</c:v>
                </c:pt>
                <c:pt idx="663">
                  <c:v>45406</c:v>
                </c:pt>
                <c:pt idx="664">
                  <c:v>45407</c:v>
                </c:pt>
                <c:pt idx="665">
                  <c:v>45408</c:v>
                </c:pt>
                <c:pt idx="666">
                  <c:v>45411</c:v>
                </c:pt>
                <c:pt idx="667">
                  <c:v>45412</c:v>
                </c:pt>
                <c:pt idx="668">
                  <c:v>45414</c:v>
                </c:pt>
                <c:pt idx="669">
                  <c:v>45415</c:v>
                </c:pt>
                <c:pt idx="670">
                  <c:v>45418</c:v>
                </c:pt>
                <c:pt idx="671">
                  <c:v>45419</c:v>
                </c:pt>
                <c:pt idx="672">
                  <c:v>45420</c:v>
                </c:pt>
                <c:pt idx="673">
                  <c:v>45421</c:v>
                </c:pt>
                <c:pt idx="674">
                  <c:v>45422</c:v>
                </c:pt>
                <c:pt idx="675">
                  <c:v>45425</c:v>
                </c:pt>
                <c:pt idx="676">
                  <c:v>45426</c:v>
                </c:pt>
                <c:pt idx="677">
                  <c:v>45427</c:v>
                </c:pt>
                <c:pt idx="678">
                  <c:v>45428</c:v>
                </c:pt>
                <c:pt idx="679">
                  <c:v>45429</c:v>
                </c:pt>
                <c:pt idx="680">
                  <c:v>45430</c:v>
                </c:pt>
                <c:pt idx="681">
                  <c:v>45433</c:v>
                </c:pt>
                <c:pt idx="682">
                  <c:v>45434</c:v>
                </c:pt>
                <c:pt idx="683">
                  <c:v>45435</c:v>
                </c:pt>
                <c:pt idx="684">
                  <c:v>45436</c:v>
                </c:pt>
                <c:pt idx="685">
                  <c:v>45439</c:v>
                </c:pt>
                <c:pt idx="686">
                  <c:v>45440</c:v>
                </c:pt>
                <c:pt idx="687">
                  <c:v>45441</c:v>
                </c:pt>
                <c:pt idx="688">
                  <c:v>45442</c:v>
                </c:pt>
                <c:pt idx="689">
                  <c:v>45443</c:v>
                </c:pt>
                <c:pt idx="690">
                  <c:v>45446</c:v>
                </c:pt>
                <c:pt idx="691">
                  <c:v>45447</c:v>
                </c:pt>
                <c:pt idx="692">
                  <c:v>45448</c:v>
                </c:pt>
                <c:pt idx="693">
                  <c:v>45449</c:v>
                </c:pt>
                <c:pt idx="694">
                  <c:v>45450</c:v>
                </c:pt>
                <c:pt idx="695">
                  <c:v>45453</c:v>
                </c:pt>
                <c:pt idx="696">
                  <c:v>45454</c:v>
                </c:pt>
                <c:pt idx="697">
                  <c:v>45455</c:v>
                </c:pt>
                <c:pt idx="698">
                  <c:v>45456</c:v>
                </c:pt>
                <c:pt idx="699">
                  <c:v>45457</c:v>
                </c:pt>
                <c:pt idx="700">
                  <c:v>45461</c:v>
                </c:pt>
                <c:pt idx="701">
                  <c:v>45462</c:v>
                </c:pt>
                <c:pt idx="702">
                  <c:v>45463</c:v>
                </c:pt>
                <c:pt idx="703">
                  <c:v>45464</c:v>
                </c:pt>
                <c:pt idx="704">
                  <c:v>45467</c:v>
                </c:pt>
                <c:pt idx="705">
                  <c:v>45468</c:v>
                </c:pt>
                <c:pt idx="706">
                  <c:v>45469</c:v>
                </c:pt>
                <c:pt idx="707">
                  <c:v>45470</c:v>
                </c:pt>
                <c:pt idx="708">
                  <c:v>45471</c:v>
                </c:pt>
                <c:pt idx="709">
                  <c:v>45474</c:v>
                </c:pt>
                <c:pt idx="710">
                  <c:v>45475</c:v>
                </c:pt>
                <c:pt idx="711">
                  <c:v>45476</c:v>
                </c:pt>
                <c:pt idx="712">
                  <c:v>45477</c:v>
                </c:pt>
                <c:pt idx="713">
                  <c:v>45478</c:v>
                </c:pt>
                <c:pt idx="714">
                  <c:v>45481</c:v>
                </c:pt>
                <c:pt idx="715">
                  <c:v>45482</c:v>
                </c:pt>
                <c:pt idx="716">
                  <c:v>45483</c:v>
                </c:pt>
                <c:pt idx="717">
                  <c:v>45484</c:v>
                </c:pt>
                <c:pt idx="718">
                  <c:v>45485</c:v>
                </c:pt>
                <c:pt idx="719">
                  <c:v>45488</c:v>
                </c:pt>
                <c:pt idx="720">
                  <c:v>45489</c:v>
                </c:pt>
                <c:pt idx="721">
                  <c:v>45491</c:v>
                </c:pt>
                <c:pt idx="722">
                  <c:v>45492</c:v>
                </c:pt>
                <c:pt idx="723">
                  <c:v>45495</c:v>
                </c:pt>
                <c:pt idx="724">
                  <c:v>45496</c:v>
                </c:pt>
                <c:pt idx="725">
                  <c:v>45497</c:v>
                </c:pt>
                <c:pt idx="726">
                  <c:v>45498</c:v>
                </c:pt>
                <c:pt idx="727">
                  <c:v>45499</c:v>
                </c:pt>
                <c:pt idx="728">
                  <c:v>45502</c:v>
                </c:pt>
                <c:pt idx="729">
                  <c:v>45503</c:v>
                </c:pt>
                <c:pt idx="730">
                  <c:v>45504</c:v>
                </c:pt>
                <c:pt idx="731">
                  <c:v>45505</c:v>
                </c:pt>
                <c:pt idx="732">
                  <c:v>45506</c:v>
                </c:pt>
                <c:pt idx="733">
                  <c:v>45509</c:v>
                </c:pt>
                <c:pt idx="734">
                  <c:v>45510</c:v>
                </c:pt>
                <c:pt idx="735">
                  <c:v>45511</c:v>
                </c:pt>
                <c:pt idx="736">
                  <c:v>45512</c:v>
                </c:pt>
                <c:pt idx="737">
                  <c:v>45513</c:v>
                </c:pt>
                <c:pt idx="738">
                  <c:v>45516</c:v>
                </c:pt>
                <c:pt idx="739">
                  <c:v>45517</c:v>
                </c:pt>
                <c:pt idx="740">
                  <c:v>45518</c:v>
                </c:pt>
                <c:pt idx="741">
                  <c:v>45520</c:v>
                </c:pt>
                <c:pt idx="742">
                  <c:v>45523</c:v>
                </c:pt>
                <c:pt idx="743">
                  <c:v>45524</c:v>
                </c:pt>
                <c:pt idx="744">
                  <c:v>45525</c:v>
                </c:pt>
                <c:pt idx="745">
                  <c:v>45526</c:v>
                </c:pt>
                <c:pt idx="746">
                  <c:v>45527</c:v>
                </c:pt>
                <c:pt idx="747">
                  <c:v>45530</c:v>
                </c:pt>
                <c:pt idx="748">
                  <c:v>45531</c:v>
                </c:pt>
                <c:pt idx="749">
                  <c:v>45532</c:v>
                </c:pt>
                <c:pt idx="750">
                  <c:v>45533</c:v>
                </c:pt>
                <c:pt idx="751">
                  <c:v>45534</c:v>
                </c:pt>
                <c:pt idx="752">
                  <c:v>45537</c:v>
                </c:pt>
                <c:pt idx="753">
                  <c:v>45538</c:v>
                </c:pt>
                <c:pt idx="754">
                  <c:v>45539</c:v>
                </c:pt>
                <c:pt idx="755">
                  <c:v>45540</c:v>
                </c:pt>
                <c:pt idx="756">
                  <c:v>45541</c:v>
                </c:pt>
                <c:pt idx="757">
                  <c:v>45544</c:v>
                </c:pt>
                <c:pt idx="758">
                  <c:v>45545</c:v>
                </c:pt>
                <c:pt idx="759">
                  <c:v>45546</c:v>
                </c:pt>
                <c:pt idx="760">
                  <c:v>45547</c:v>
                </c:pt>
                <c:pt idx="761">
                  <c:v>45548</c:v>
                </c:pt>
                <c:pt idx="762">
                  <c:v>45551</c:v>
                </c:pt>
                <c:pt idx="763">
                  <c:v>45552</c:v>
                </c:pt>
                <c:pt idx="764">
                  <c:v>45553</c:v>
                </c:pt>
                <c:pt idx="765">
                  <c:v>45554</c:v>
                </c:pt>
                <c:pt idx="766">
                  <c:v>45555</c:v>
                </c:pt>
                <c:pt idx="767">
                  <c:v>45558</c:v>
                </c:pt>
                <c:pt idx="768">
                  <c:v>45559</c:v>
                </c:pt>
                <c:pt idx="769">
                  <c:v>45560</c:v>
                </c:pt>
                <c:pt idx="770">
                  <c:v>45561</c:v>
                </c:pt>
                <c:pt idx="771">
                  <c:v>45562</c:v>
                </c:pt>
                <c:pt idx="772">
                  <c:v>45565</c:v>
                </c:pt>
                <c:pt idx="773">
                  <c:v>45566</c:v>
                </c:pt>
                <c:pt idx="774">
                  <c:v>45568</c:v>
                </c:pt>
                <c:pt idx="775">
                  <c:v>45569</c:v>
                </c:pt>
                <c:pt idx="776">
                  <c:v>45572</c:v>
                </c:pt>
                <c:pt idx="777">
                  <c:v>45573</c:v>
                </c:pt>
                <c:pt idx="778">
                  <c:v>45574</c:v>
                </c:pt>
                <c:pt idx="779">
                  <c:v>45575</c:v>
                </c:pt>
                <c:pt idx="780">
                  <c:v>45576</c:v>
                </c:pt>
                <c:pt idx="781">
                  <c:v>45579</c:v>
                </c:pt>
                <c:pt idx="782">
                  <c:v>45580</c:v>
                </c:pt>
                <c:pt idx="783">
                  <c:v>45581</c:v>
                </c:pt>
                <c:pt idx="784">
                  <c:v>45582</c:v>
                </c:pt>
                <c:pt idx="785">
                  <c:v>45583</c:v>
                </c:pt>
                <c:pt idx="786">
                  <c:v>45586</c:v>
                </c:pt>
                <c:pt idx="787">
                  <c:v>45587</c:v>
                </c:pt>
                <c:pt idx="788">
                  <c:v>45588</c:v>
                </c:pt>
                <c:pt idx="789">
                  <c:v>45589</c:v>
                </c:pt>
                <c:pt idx="790">
                  <c:v>45590</c:v>
                </c:pt>
                <c:pt idx="791">
                  <c:v>45593</c:v>
                </c:pt>
                <c:pt idx="792">
                  <c:v>45594</c:v>
                </c:pt>
                <c:pt idx="793">
                  <c:v>45595</c:v>
                </c:pt>
                <c:pt idx="794">
                  <c:v>45596</c:v>
                </c:pt>
                <c:pt idx="795">
                  <c:v>45597</c:v>
                </c:pt>
                <c:pt idx="796">
                  <c:v>45600</c:v>
                </c:pt>
                <c:pt idx="797">
                  <c:v>45601</c:v>
                </c:pt>
                <c:pt idx="798">
                  <c:v>45602</c:v>
                </c:pt>
                <c:pt idx="799">
                  <c:v>45603</c:v>
                </c:pt>
                <c:pt idx="800">
                  <c:v>45604</c:v>
                </c:pt>
                <c:pt idx="801">
                  <c:v>45607</c:v>
                </c:pt>
                <c:pt idx="802">
                  <c:v>45608</c:v>
                </c:pt>
                <c:pt idx="803">
                  <c:v>45609</c:v>
                </c:pt>
                <c:pt idx="804">
                  <c:v>45610</c:v>
                </c:pt>
                <c:pt idx="805">
                  <c:v>45614</c:v>
                </c:pt>
                <c:pt idx="806">
                  <c:v>45615</c:v>
                </c:pt>
                <c:pt idx="807">
                  <c:v>45617</c:v>
                </c:pt>
                <c:pt idx="808">
                  <c:v>45618</c:v>
                </c:pt>
                <c:pt idx="809">
                  <c:v>45621</c:v>
                </c:pt>
                <c:pt idx="810">
                  <c:v>45622</c:v>
                </c:pt>
                <c:pt idx="811">
                  <c:v>45623</c:v>
                </c:pt>
                <c:pt idx="812">
                  <c:v>45624</c:v>
                </c:pt>
                <c:pt idx="813">
                  <c:v>45625</c:v>
                </c:pt>
                <c:pt idx="814">
                  <c:v>45628</c:v>
                </c:pt>
                <c:pt idx="815">
                  <c:v>45629</c:v>
                </c:pt>
                <c:pt idx="816">
                  <c:v>45630</c:v>
                </c:pt>
                <c:pt idx="817">
                  <c:v>45631</c:v>
                </c:pt>
                <c:pt idx="818">
                  <c:v>45632</c:v>
                </c:pt>
                <c:pt idx="819">
                  <c:v>45635</c:v>
                </c:pt>
                <c:pt idx="820">
                  <c:v>45636</c:v>
                </c:pt>
                <c:pt idx="821">
                  <c:v>45637</c:v>
                </c:pt>
                <c:pt idx="822">
                  <c:v>45638</c:v>
                </c:pt>
                <c:pt idx="823">
                  <c:v>45639</c:v>
                </c:pt>
                <c:pt idx="824">
                  <c:v>45642</c:v>
                </c:pt>
                <c:pt idx="825">
                  <c:v>45643</c:v>
                </c:pt>
                <c:pt idx="826">
                  <c:v>45644</c:v>
                </c:pt>
                <c:pt idx="827">
                  <c:v>45645</c:v>
                </c:pt>
                <c:pt idx="828">
                  <c:v>45646</c:v>
                </c:pt>
                <c:pt idx="829">
                  <c:v>45649</c:v>
                </c:pt>
                <c:pt idx="830">
                  <c:v>45650</c:v>
                </c:pt>
                <c:pt idx="831">
                  <c:v>45652</c:v>
                </c:pt>
                <c:pt idx="832">
                  <c:v>45653</c:v>
                </c:pt>
                <c:pt idx="833">
                  <c:v>45656</c:v>
                </c:pt>
                <c:pt idx="834">
                  <c:v>45657</c:v>
                </c:pt>
                <c:pt idx="835">
                  <c:v>45658</c:v>
                </c:pt>
                <c:pt idx="836">
                  <c:v>45659</c:v>
                </c:pt>
                <c:pt idx="837">
                  <c:v>45660</c:v>
                </c:pt>
                <c:pt idx="838">
                  <c:v>45663</c:v>
                </c:pt>
                <c:pt idx="839">
                  <c:v>45664</c:v>
                </c:pt>
                <c:pt idx="840">
                  <c:v>45665</c:v>
                </c:pt>
                <c:pt idx="841">
                  <c:v>45666</c:v>
                </c:pt>
                <c:pt idx="842">
                  <c:v>45667</c:v>
                </c:pt>
                <c:pt idx="843">
                  <c:v>45670</c:v>
                </c:pt>
                <c:pt idx="844">
                  <c:v>45671</c:v>
                </c:pt>
                <c:pt idx="845">
                  <c:v>45672</c:v>
                </c:pt>
                <c:pt idx="846">
                  <c:v>45673</c:v>
                </c:pt>
                <c:pt idx="847">
                  <c:v>45674</c:v>
                </c:pt>
                <c:pt idx="848">
                  <c:v>45677</c:v>
                </c:pt>
                <c:pt idx="849">
                  <c:v>45678</c:v>
                </c:pt>
                <c:pt idx="850">
                  <c:v>45679</c:v>
                </c:pt>
                <c:pt idx="851">
                  <c:v>45680</c:v>
                </c:pt>
                <c:pt idx="852">
                  <c:v>45681</c:v>
                </c:pt>
                <c:pt idx="853">
                  <c:v>45684</c:v>
                </c:pt>
                <c:pt idx="854">
                  <c:v>45685</c:v>
                </c:pt>
                <c:pt idx="855">
                  <c:v>45686</c:v>
                </c:pt>
                <c:pt idx="856">
                  <c:v>45687</c:v>
                </c:pt>
                <c:pt idx="857">
                  <c:v>45688</c:v>
                </c:pt>
                <c:pt idx="858">
                  <c:v>45689</c:v>
                </c:pt>
                <c:pt idx="859">
                  <c:v>45691</c:v>
                </c:pt>
                <c:pt idx="860">
                  <c:v>45692</c:v>
                </c:pt>
                <c:pt idx="861">
                  <c:v>45693</c:v>
                </c:pt>
                <c:pt idx="862">
                  <c:v>45694</c:v>
                </c:pt>
                <c:pt idx="863">
                  <c:v>45695</c:v>
                </c:pt>
                <c:pt idx="864">
                  <c:v>45698</c:v>
                </c:pt>
                <c:pt idx="865">
                  <c:v>45699</c:v>
                </c:pt>
                <c:pt idx="866">
                  <c:v>45700</c:v>
                </c:pt>
                <c:pt idx="867">
                  <c:v>45701</c:v>
                </c:pt>
                <c:pt idx="868">
                  <c:v>45702</c:v>
                </c:pt>
                <c:pt idx="869">
                  <c:v>45705</c:v>
                </c:pt>
                <c:pt idx="870">
                  <c:v>45706</c:v>
                </c:pt>
                <c:pt idx="871">
                  <c:v>45707</c:v>
                </c:pt>
                <c:pt idx="872">
                  <c:v>45708</c:v>
                </c:pt>
                <c:pt idx="873">
                  <c:v>45709</c:v>
                </c:pt>
                <c:pt idx="874">
                  <c:v>45712</c:v>
                </c:pt>
                <c:pt idx="875">
                  <c:v>45713</c:v>
                </c:pt>
                <c:pt idx="876">
                  <c:v>45715</c:v>
                </c:pt>
                <c:pt idx="877">
                  <c:v>45716</c:v>
                </c:pt>
                <c:pt idx="878">
                  <c:v>45719</c:v>
                </c:pt>
                <c:pt idx="879">
                  <c:v>45720</c:v>
                </c:pt>
                <c:pt idx="880">
                  <c:v>45721</c:v>
                </c:pt>
                <c:pt idx="881">
                  <c:v>45722</c:v>
                </c:pt>
                <c:pt idx="882">
                  <c:v>45723</c:v>
                </c:pt>
                <c:pt idx="883">
                  <c:v>45726</c:v>
                </c:pt>
                <c:pt idx="884">
                  <c:v>45727</c:v>
                </c:pt>
                <c:pt idx="885">
                  <c:v>45728</c:v>
                </c:pt>
                <c:pt idx="886">
                  <c:v>45729</c:v>
                </c:pt>
                <c:pt idx="887">
                  <c:v>45733</c:v>
                </c:pt>
                <c:pt idx="888">
                  <c:v>45734</c:v>
                </c:pt>
                <c:pt idx="889">
                  <c:v>45735</c:v>
                </c:pt>
                <c:pt idx="890">
                  <c:v>45736</c:v>
                </c:pt>
                <c:pt idx="891">
                  <c:v>45737</c:v>
                </c:pt>
                <c:pt idx="892">
                  <c:v>45740</c:v>
                </c:pt>
                <c:pt idx="893">
                  <c:v>45741</c:v>
                </c:pt>
                <c:pt idx="894">
                  <c:v>45742</c:v>
                </c:pt>
                <c:pt idx="895">
                  <c:v>45743</c:v>
                </c:pt>
                <c:pt idx="896">
                  <c:v>45744</c:v>
                </c:pt>
                <c:pt idx="897">
                  <c:v>45748</c:v>
                </c:pt>
                <c:pt idx="898">
                  <c:v>45749</c:v>
                </c:pt>
                <c:pt idx="899">
                  <c:v>45750</c:v>
                </c:pt>
                <c:pt idx="900">
                  <c:v>45751</c:v>
                </c:pt>
                <c:pt idx="901">
                  <c:v>45754</c:v>
                </c:pt>
                <c:pt idx="902">
                  <c:v>45755</c:v>
                </c:pt>
                <c:pt idx="903">
                  <c:v>45756</c:v>
                </c:pt>
                <c:pt idx="904">
                  <c:v>45758</c:v>
                </c:pt>
                <c:pt idx="905">
                  <c:v>45762</c:v>
                </c:pt>
                <c:pt idx="906">
                  <c:v>45763</c:v>
                </c:pt>
                <c:pt idx="907">
                  <c:v>45764</c:v>
                </c:pt>
                <c:pt idx="908">
                  <c:v>45768</c:v>
                </c:pt>
                <c:pt idx="909">
                  <c:v>45769</c:v>
                </c:pt>
                <c:pt idx="910">
                  <c:v>45770</c:v>
                </c:pt>
                <c:pt idx="911">
                  <c:v>45771</c:v>
                </c:pt>
                <c:pt idx="912">
                  <c:v>45772</c:v>
                </c:pt>
                <c:pt idx="913">
                  <c:v>45775</c:v>
                </c:pt>
                <c:pt idx="914">
                  <c:v>45776</c:v>
                </c:pt>
                <c:pt idx="915">
                  <c:v>45777</c:v>
                </c:pt>
                <c:pt idx="916">
                  <c:v>45779</c:v>
                </c:pt>
                <c:pt idx="917">
                  <c:v>45782</c:v>
                </c:pt>
                <c:pt idx="918">
                  <c:v>45783</c:v>
                </c:pt>
                <c:pt idx="919">
                  <c:v>45784</c:v>
                </c:pt>
                <c:pt idx="920">
                  <c:v>45785</c:v>
                </c:pt>
                <c:pt idx="921">
                  <c:v>45786</c:v>
                </c:pt>
                <c:pt idx="922">
                  <c:v>45789</c:v>
                </c:pt>
                <c:pt idx="923">
                  <c:v>45790</c:v>
                </c:pt>
                <c:pt idx="924">
                  <c:v>45791</c:v>
                </c:pt>
                <c:pt idx="925">
                  <c:v>45792</c:v>
                </c:pt>
                <c:pt idx="926">
                  <c:v>45793</c:v>
                </c:pt>
                <c:pt idx="927">
                  <c:v>45796</c:v>
                </c:pt>
                <c:pt idx="928">
                  <c:v>45797</c:v>
                </c:pt>
                <c:pt idx="929">
                  <c:v>45798</c:v>
                </c:pt>
                <c:pt idx="930">
                  <c:v>45799</c:v>
                </c:pt>
                <c:pt idx="931">
                  <c:v>45800</c:v>
                </c:pt>
                <c:pt idx="932">
                  <c:v>45803</c:v>
                </c:pt>
                <c:pt idx="933">
                  <c:v>45804</c:v>
                </c:pt>
                <c:pt idx="934">
                  <c:v>45805</c:v>
                </c:pt>
                <c:pt idx="935">
                  <c:v>45806</c:v>
                </c:pt>
                <c:pt idx="936">
                  <c:v>45807</c:v>
                </c:pt>
                <c:pt idx="937">
                  <c:v>45810</c:v>
                </c:pt>
                <c:pt idx="938">
                  <c:v>45811</c:v>
                </c:pt>
                <c:pt idx="939">
                  <c:v>45812</c:v>
                </c:pt>
                <c:pt idx="940">
                  <c:v>45813</c:v>
                </c:pt>
                <c:pt idx="941">
                  <c:v>45814</c:v>
                </c:pt>
                <c:pt idx="942">
                  <c:v>45817</c:v>
                </c:pt>
                <c:pt idx="943">
                  <c:v>45818</c:v>
                </c:pt>
                <c:pt idx="944">
                  <c:v>45819</c:v>
                </c:pt>
                <c:pt idx="945">
                  <c:v>45820</c:v>
                </c:pt>
                <c:pt idx="946">
                  <c:v>45821</c:v>
                </c:pt>
                <c:pt idx="947">
                  <c:v>45824</c:v>
                </c:pt>
                <c:pt idx="948">
                  <c:v>45825</c:v>
                </c:pt>
                <c:pt idx="949">
                  <c:v>45826</c:v>
                </c:pt>
                <c:pt idx="950">
                  <c:v>45827</c:v>
                </c:pt>
                <c:pt idx="951">
                  <c:v>45828</c:v>
                </c:pt>
                <c:pt idx="952">
                  <c:v>45831</c:v>
                </c:pt>
                <c:pt idx="953">
                  <c:v>45832</c:v>
                </c:pt>
                <c:pt idx="954">
                  <c:v>45833</c:v>
                </c:pt>
                <c:pt idx="955">
                  <c:v>45834</c:v>
                </c:pt>
                <c:pt idx="956">
                  <c:v>45835</c:v>
                </c:pt>
                <c:pt idx="957">
                  <c:v>45838</c:v>
                </c:pt>
                <c:pt idx="958">
                  <c:v>45839</c:v>
                </c:pt>
                <c:pt idx="959">
                  <c:v>45840</c:v>
                </c:pt>
                <c:pt idx="960">
                  <c:v>45841</c:v>
                </c:pt>
                <c:pt idx="961">
                  <c:v>45842</c:v>
                </c:pt>
                <c:pt idx="962">
                  <c:v>45845</c:v>
                </c:pt>
                <c:pt idx="963">
                  <c:v>45846</c:v>
                </c:pt>
                <c:pt idx="964">
                  <c:v>45847</c:v>
                </c:pt>
                <c:pt idx="965">
                  <c:v>45848</c:v>
                </c:pt>
                <c:pt idx="966">
                  <c:v>45849</c:v>
                </c:pt>
                <c:pt idx="967">
                  <c:v>45852</c:v>
                </c:pt>
                <c:pt idx="968">
                  <c:v>45853</c:v>
                </c:pt>
                <c:pt idx="969">
                  <c:v>45854</c:v>
                </c:pt>
                <c:pt idx="970">
                  <c:v>45855</c:v>
                </c:pt>
                <c:pt idx="971">
                  <c:v>45856</c:v>
                </c:pt>
                <c:pt idx="972">
                  <c:v>45859</c:v>
                </c:pt>
                <c:pt idx="973">
                  <c:v>45860</c:v>
                </c:pt>
                <c:pt idx="974">
                  <c:v>45861</c:v>
                </c:pt>
                <c:pt idx="975">
                  <c:v>45862</c:v>
                </c:pt>
                <c:pt idx="976">
                  <c:v>45863</c:v>
                </c:pt>
                <c:pt idx="977">
                  <c:v>45866</c:v>
                </c:pt>
                <c:pt idx="978">
                  <c:v>45867</c:v>
                </c:pt>
                <c:pt idx="979">
                  <c:v>45868</c:v>
                </c:pt>
                <c:pt idx="980">
                  <c:v>45869</c:v>
                </c:pt>
                <c:pt idx="981">
                  <c:v>45870</c:v>
                </c:pt>
                <c:pt idx="982">
                  <c:v>45873</c:v>
                </c:pt>
                <c:pt idx="983">
                  <c:v>45874</c:v>
                </c:pt>
                <c:pt idx="984">
                  <c:v>45875</c:v>
                </c:pt>
                <c:pt idx="985">
                  <c:v>45876</c:v>
                </c:pt>
                <c:pt idx="986">
                  <c:v>45877</c:v>
                </c:pt>
                <c:pt idx="987">
                  <c:v>45880</c:v>
                </c:pt>
                <c:pt idx="988">
                  <c:v>45881</c:v>
                </c:pt>
                <c:pt idx="989">
                  <c:v>45882</c:v>
                </c:pt>
                <c:pt idx="990">
                  <c:v>45883</c:v>
                </c:pt>
                <c:pt idx="991">
                  <c:v>45887</c:v>
                </c:pt>
                <c:pt idx="992">
                  <c:v>45888</c:v>
                </c:pt>
                <c:pt idx="993">
                  <c:v>45889</c:v>
                </c:pt>
                <c:pt idx="994">
                  <c:v>45890</c:v>
                </c:pt>
                <c:pt idx="995">
                  <c:v>45891</c:v>
                </c:pt>
                <c:pt idx="996">
                  <c:v>45894</c:v>
                </c:pt>
                <c:pt idx="997">
                  <c:v>45895</c:v>
                </c:pt>
                <c:pt idx="998">
                  <c:v>45897</c:v>
                </c:pt>
                <c:pt idx="999">
                  <c:v>45898</c:v>
                </c:pt>
                <c:pt idx="1000">
                  <c:v>45901</c:v>
                </c:pt>
                <c:pt idx="1001">
                  <c:v>45902</c:v>
                </c:pt>
                <c:pt idx="1002">
                  <c:v>45903</c:v>
                </c:pt>
                <c:pt idx="1003">
                  <c:v>45904</c:v>
                </c:pt>
                <c:pt idx="1004">
                  <c:v>45905</c:v>
                </c:pt>
                <c:pt idx="1005">
                  <c:v>45908</c:v>
                </c:pt>
                <c:pt idx="1006">
                  <c:v>45909</c:v>
                </c:pt>
                <c:pt idx="1007">
                  <c:v>45910</c:v>
                </c:pt>
                <c:pt idx="1008">
                  <c:v>45911</c:v>
                </c:pt>
                <c:pt idx="1009">
                  <c:v>45912</c:v>
                </c:pt>
                <c:pt idx="1010">
                  <c:v>45915</c:v>
                </c:pt>
                <c:pt idx="1011">
                  <c:v>45916</c:v>
                </c:pt>
                <c:pt idx="1012">
                  <c:v>45917</c:v>
                </c:pt>
                <c:pt idx="1013">
                  <c:v>45918</c:v>
                </c:pt>
                <c:pt idx="1014">
                  <c:v>45919</c:v>
                </c:pt>
                <c:pt idx="1015">
                  <c:v>45922</c:v>
                </c:pt>
                <c:pt idx="1016">
                  <c:v>45923</c:v>
                </c:pt>
                <c:pt idx="1017">
                  <c:v>45924</c:v>
                </c:pt>
                <c:pt idx="1018">
                  <c:v>45925</c:v>
                </c:pt>
                <c:pt idx="1019">
                  <c:v>45926</c:v>
                </c:pt>
                <c:pt idx="1020">
                  <c:v>45929</c:v>
                </c:pt>
                <c:pt idx="1021">
                  <c:v>45930</c:v>
                </c:pt>
                <c:pt idx="1022">
                  <c:v>45931</c:v>
                </c:pt>
                <c:pt idx="1023">
                  <c:v>45933</c:v>
                </c:pt>
                <c:pt idx="1024">
                  <c:v>45936</c:v>
                </c:pt>
                <c:pt idx="1025">
                  <c:v>45937</c:v>
                </c:pt>
                <c:pt idx="1026">
                  <c:v>45938</c:v>
                </c:pt>
                <c:pt idx="1027">
                  <c:v>45939</c:v>
                </c:pt>
                <c:pt idx="1028">
                  <c:v>45940</c:v>
                </c:pt>
                <c:pt idx="1029">
                  <c:v>45943</c:v>
                </c:pt>
                <c:pt idx="1030">
                  <c:v>45944</c:v>
                </c:pt>
                <c:pt idx="1031">
                  <c:v>45945</c:v>
                </c:pt>
                <c:pt idx="1032">
                  <c:v>45946</c:v>
                </c:pt>
                <c:pt idx="1033">
                  <c:v>45947</c:v>
                </c:pt>
                <c:pt idx="1034">
                  <c:v>45950</c:v>
                </c:pt>
                <c:pt idx="1035">
                  <c:v>45951</c:v>
                </c:pt>
                <c:pt idx="1036">
                  <c:v>45953</c:v>
                </c:pt>
                <c:pt idx="1037">
                  <c:v>45954</c:v>
                </c:pt>
                <c:pt idx="1038">
                  <c:v>45957</c:v>
                </c:pt>
                <c:pt idx="1039">
                  <c:v>45958</c:v>
                </c:pt>
                <c:pt idx="1040">
                  <c:v>45959</c:v>
                </c:pt>
                <c:pt idx="1041">
                  <c:v>45960</c:v>
                </c:pt>
                <c:pt idx="1042">
                  <c:v>45961</c:v>
                </c:pt>
                <c:pt idx="1043">
                  <c:v>45964</c:v>
                </c:pt>
                <c:pt idx="1044">
                  <c:v>45965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46015</c:v>
                </c:pt>
                <c:pt idx="1080">
                  <c:v>46017</c:v>
                </c:pt>
                <c:pt idx="1081">
                  <c:v>46020</c:v>
                </c:pt>
                <c:pt idx="1082">
                  <c:v>46021</c:v>
                </c:pt>
                <c:pt idx="1083">
                  <c:v>46022</c:v>
                </c:pt>
                <c:pt idx="1084">
                  <c:v>46023</c:v>
                </c:pt>
                <c:pt idx="1085">
                  <c:v>46024</c:v>
                </c:pt>
                <c:pt idx="1086">
                  <c:v>46027</c:v>
                </c:pt>
                <c:pt idx="1087">
                  <c:v>46028</c:v>
                </c:pt>
                <c:pt idx="1088">
                  <c:v>46029</c:v>
                </c:pt>
                <c:pt idx="1089">
                  <c:v>46030</c:v>
                </c:pt>
                <c:pt idx="1090">
                  <c:v>46031</c:v>
                </c:pt>
                <c:pt idx="1091">
                  <c:v>46034</c:v>
                </c:pt>
                <c:pt idx="1092">
                  <c:v>46035</c:v>
                </c:pt>
                <c:pt idx="1093">
                  <c:v>46036</c:v>
                </c:pt>
                <c:pt idx="1094">
                  <c:v>46038</c:v>
                </c:pt>
                <c:pt idx="1095">
                  <c:v>46041</c:v>
                </c:pt>
                <c:pt idx="1096">
                  <c:v>46042</c:v>
                </c:pt>
                <c:pt idx="1097">
                  <c:v>46043</c:v>
                </c:pt>
                <c:pt idx="1098">
                  <c:v>46044</c:v>
                </c:pt>
                <c:pt idx="1099">
                  <c:v>46045</c:v>
                </c:pt>
                <c:pt idx="1100">
                  <c:v>46049</c:v>
                </c:pt>
                <c:pt idx="1101">
                  <c:v>46050</c:v>
                </c:pt>
                <c:pt idx="1102">
                  <c:v>46051</c:v>
                </c:pt>
                <c:pt idx="1103">
                  <c:v>46052</c:v>
                </c:pt>
                <c:pt idx="1104">
                  <c:v>46054</c:v>
                </c:pt>
                <c:pt idx="1105">
                  <c:v>46055</c:v>
                </c:pt>
                <c:pt idx="1106">
                  <c:v>46056</c:v>
                </c:pt>
                <c:pt idx="1107">
                  <c:v>46057</c:v>
                </c:pt>
                <c:pt idx="1108">
                  <c:v>46058</c:v>
                </c:pt>
                <c:pt idx="1109">
                  <c:v>46059</c:v>
                </c:pt>
                <c:pt idx="1110">
                  <c:v>46062</c:v>
                </c:pt>
                <c:pt idx="1111">
                  <c:v>46063</c:v>
                </c:pt>
                <c:pt idx="1112">
                  <c:v>46064</c:v>
                </c:pt>
                <c:pt idx="1113">
                  <c:v>46065</c:v>
                </c:pt>
                <c:pt idx="1114">
                  <c:v>46066</c:v>
                </c:pt>
                <c:pt idx="1115">
                  <c:v>46069</c:v>
                </c:pt>
                <c:pt idx="1116">
                  <c:v>46070</c:v>
                </c:pt>
                <c:pt idx="1117">
                  <c:v>46071</c:v>
                </c:pt>
                <c:pt idx="1118">
                  <c:v>46072</c:v>
                </c:pt>
                <c:pt idx="1119">
                  <c:v>46073</c:v>
                </c:pt>
                <c:pt idx="1120">
                  <c:v>46076</c:v>
                </c:pt>
                <c:pt idx="1121">
                  <c:v>46077</c:v>
                </c:pt>
                <c:pt idx="1122">
                  <c:v>46078</c:v>
                </c:pt>
                <c:pt idx="1123">
                  <c:v>46079</c:v>
                </c:pt>
                <c:pt idx="1124">
                  <c:v>46080</c:v>
                </c:pt>
                <c:pt idx="1125">
                  <c:v>46083</c:v>
                </c:pt>
                <c:pt idx="1126">
                  <c:v>46085</c:v>
                </c:pt>
                <c:pt idx="1127">
                  <c:v>46086</c:v>
                </c:pt>
                <c:pt idx="1128">
                  <c:v>46087</c:v>
                </c:pt>
                <c:pt idx="1129">
                  <c:v>46090</c:v>
                </c:pt>
                <c:pt idx="1130">
                  <c:v>46091</c:v>
                </c:pt>
                <c:pt idx="1131">
                  <c:v>46092</c:v>
                </c:pt>
                <c:pt idx="1132">
                  <c:v>46093</c:v>
                </c:pt>
                <c:pt idx="1133">
                  <c:v>46094</c:v>
                </c:pt>
                <c:pt idx="1134">
                  <c:v>46097</c:v>
                </c:pt>
                <c:pt idx="1135">
                  <c:v>46098</c:v>
                </c:pt>
                <c:pt idx="1136">
                  <c:v>46099</c:v>
                </c:pt>
                <c:pt idx="1137">
                  <c:v>46100</c:v>
                </c:pt>
                <c:pt idx="1138">
                  <c:v>46101</c:v>
                </c:pt>
                <c:pt idx="1139">
                  <c:v>46104</c:v>
                </c:pt>
                <c:pt idx="1140">
                  <c:v>46105</c:v>
                </c:pt>
                <c:pt idx="1141">
                  <c:v>46106</c:v>
                </c:pt>
                <c:pt idx="1142">
                  <c:v>46108</c:v>
                </c:pt>
                <c:pt idx="1143">
                  <c:v>46111</c:v>
                </c:pt>
                <c:pt idx="1144">
                  <c:v>46113</c:v>
                </c:pt>
                <c:pt idx="1145">
                  <c:v>46114</c:v>
                </c:pt>
                <c:pt idx="1146">
                  <c:v>46118</c:v>
                </c:pt>
                <c:pt idx="1147">
                  <c:v>46119</c:v>
                </c:pt>
                <c:pt idx="1148">
                  <c:v>46120</c:v>
                </c:pt>
                <c:pt idx="1149">
                  <c:v>46121</c:v>
                </c:pt>
                <c:pt idx="1150">
                  <c:v>46122</c:v>
                </c:pt>
                <c:pt idx="1151">
                  <c:v>46125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46171</c:v>
                </c:pt>
                <c:pt idx="1183">
                  <c:v>46174</c:v>
                </c:pt>
                <c:pt idx="1184">
                  <c:v>46175</c:v>
                </c:pt>
                <c:pt idx="1185">
                  <c:v>46176</c:v>
                </c:pt>
                <c:pt idx="1186">
                  <c:v>46177</c:v>
                </c:pt>
                <c:pt idx="1187">
                  <c:v>46178</c:v>
                </c:pt>
                <c:pt idx="1188">
                  <c:v>46181</c:v>
                </c:pt>
                <c:pt idx="1189">
                  <c:v>46182</c:v>
                </c:pt>
                <c:pt idx="1190">
                  <c:v>46183</c:v>
                </c:pt>
                <c:pt idx="1191">
                  <c:v>46184</c:v>
                </c:pt>
                <c:pt idx="1192">
                  <c:v>46185</c:v>
                </c:pt>
                <c:pt idx="1193">
                  <c:v>46188</c:v>
                </c:pt>
                <c:pt idx="1194">
                  <c:v>46189</c:v>
                </c:pt>
                <c:pt idx="1195">
                  <c:v>46190</c:v>
                </c:pt>
                <c:pt idx="1196">
                  <c:v>46191</c:v>
                </c:pt>
                <c:pt idx="1197">
                  <c:v>46192</c:v>
                </c:pt>
                <c:pt idx="1198">
                  <c:v>46195</c:v>
                </c:pt>
                <c:pt idx="1199">
                  <c:v>46196</c:v>
                </c:pt>
                <c:pt idx="1200">
                  <c:v>46197</c:v>
                </c:pt>
                <c:pt idx="1201">
                  <c:v>46198</c:v>
                </c:pt>
                <c:pt idx="1202">
                  <c:v>46202</c:v>
                </c:pt>
                <c:pt idx="1203">
                  <c:v>46203</c:v>
                </c:pt>
                <c:pt idx="1204">
                  <c:v>46204</c:v>
                </c:pt>
                <c:pt idx="1205">
                  <c:v>46205</c:v>
                </c:pt>
                <c:pt idx="1206">
                  <c:v>46206</c:v>
                </c:pt>
                <c:pt idx="1207">
                  <c:v>46209</c:v>
                </c:pt>
                <c:pt idx="1208">
                  <c:v>46210</c:v>
                </c:pt>
                <c:pt idx="1209">
                  <c:v>46211</c:v>
                </c:pt>
                <c:pt idx="1210">
                  <c:v>46212</c:v>
                </c:pt>
                <c:pt idx="1211">
                  <c:v>46213</c:v>
                </c:pt>
                <c:pt idx="1212">
                  <c:v>46216</c:v>
                </c:pt>
                <c:pt idx="1213">
                  <c:v>46217</c:v>
                </c:pt>
                <c:pt idx="1214">
                  <c:v>46218</c:v>
                </c:pt>
                <c:pt idx="1215">
                  <c:v>46219</c:v>
                </c:pt>
                <c:pt idx="1216">
                  <c:v>46220</c:v>
                </c:pt>
                <c:pt idx="1217">
                  <c:v>46223</c:v>
                </c:pt>
                <c:pt idx="1218">
                  <c:v>46224</c:v>
                </c:pt>
                <c:pt idx="1219">
                  <c:v>46225</c:v>
                </c:pt>
                <c:pt idx="1220">
                  <c:v>46226</c:v>
                </c:pt>
                <c:pt idx="1221">
                  <c:v>46227</c:v>
                </c:pt>
                <c:pt idx="1222">
                  <c:v>46230</c:v>
                </c:pt>
                <c:pt idx="1223">
                  <c:v>46231</c:v>
                </c:pt>
                <c:pt idx="1224">
                  <c:v>46232</c:v>
                </c:pt>
                <c:pt idx="1225">
                  <c:v>46233</c:v>
                </c:pt>
                <c:pt idx="1226">
                  <c:v>46234</c:v>
                </c:pt>
                <c:pt idx="1227">
                  <c:v>46237</c:v>
                </c:pt>
                <c:pt idx="1228">
                  <c:v>46238</c:v>
                </c:pt>
                <c:pt idx="1229">
                  <c:v>46239</c:v>
                </c:pt>
                <c:pt idx="1230">
                  <c:v>46240</c:v>
                </c:pt>
                <c:pt idx="1231">
                  <c:v>46241</c:v>
                </c:pt>
                <c:pt idx="1232">
                  <c:v>46244</c:v>
                </c:pt>
                <c:pt idx="1233">
                  <c:v>46245</c:v>
                </c:pt>
                <c:pt idx="1234">
                  <c:v>46246</c:v>
                </c:pt>
                <c:pt idx="1235">
                  <c:v>46247</c:v>
                </c:pt>
                <c:pt idx="1236">
                  <c:v>46248</c:v>
                </c:pt>
                <c:pt idx="1237">
                  <c:v>46251</c:v>
                </c:pt>
                <c:pt idx="1238">
                  <c:v>46252</c:v>
                </c:pt>
              </c:numCache>
            </c:numRef>
          </c:cat>
          <c:val>
            <c:numRef>
              <c:f>'NIFTY - Simple Naive Forecastin'!$B$2:$B$1240</c:f>
              <c:numCache>
                <c:formatCode>#,##0.00;\-#,##0.00;#,##0.00;"--"</c:formatCode>
                <c:ptCount val="1239"/>
                <c:pt idx="0">
                  <c:v>16450.5</c:v>
                </c:pt>
                <c:pt idx="1">
                  <c:v>16496.45</c:v>
                </c:pt>
                <c:pt idx="2">
                  <c:v>16624.599999999999</c:v>
                </c:pt>
                <c:pt idx="3">
                  <c:v>16634.650000000001</c:v>
                </c:pt>
                <c:pt idx="4">
                  <c:v>16636.900000000001</c:v>
                </c:pt>
                <c:pt idx="5">
                  <c:v>16705.2</c:v>
                </c:pt>
                <c:pt idx="6">
                  <c:v>16931.05</c:v>
                </c:pt>
                <c:pt idx="7">
                  <c:v>17132.2</c:v>
                </c:pt>
                <c:pt idx="8">
                  <c:v>17076.25</c:v>
                </c:pt>
                <c:pt idx="9">
                  <c:v>17234.150000000001</c:v>
                </c:pt>
                <c:pt idx="10">
                  <c:v>17323.599999999999</c:v>
                </c:pt>
                <c:pt idx="11">
                  <c:v>17377.8</c:v>
                </c:pt>
                <c:pt idx="12">
                  <c:v>17362.099999999999</c:v>
                </c:pt>
                <c:pt idx="13">
                  <c:v>17353.5</c:v>
                </c:pt>
                <c:pt idx="14">
                  <c:v>17369.25</c:v>
                </c:pt>
                <c:pt idx="15">
                  <c:v>17355.3</c:v>
                </c:pt>
                <c:pt idx="16">
                  <c:v>17380</c:v>
                </c:pt>
                <c:pt idx="17">
                  <c:v>17519.45</c:v>
                </c:pt>
                <c:pt idx="18">
                  <c:v>17629.5</c:v>
                </c:pt>
                <c:pt idx="19">
                  <c:v>17585.150000000001</c:v>
                </c:pt>
                <c:pt idx="20">
                  <c:v>17396.900000000001</c:v>
                </c:pt>
                <c:pt idx="21">
                  <c:v>17562</c:v>
                </c:pt>
                <c:pt idx="22">
                  <c:v>17546.650000000001</c:v>
                </c:pt>
                <c:pt idx="23">
                  <c:v>17822.95</c:v>
                </c:pt>
                <c:pt idx="24">
                  <c:v>17853.2</c:v>
                </c:pt>
                <c:pt idx="25">
                  <c:v>17855.099999999999</c:v>
                </c:pt>
                <c:pt idx="26">
                  <c:v>17748.599999999999</c:v>
                </c:pt>
                <c:pt idx="27">
                  <c:v>17711.3</c:v>
                </c:pt>
                <c:pt idx="28">
                  <c:v>17618.150000000001</c:v>
                </c:pt>
                <c:pt idx="29">
                  <c:v>17532.05</c:v>
                </c:pt>
                <c:pt idx="30">
                  <c:v>17691.25</c:v>
                </c:pt>
                <c:pt idx="31">
                  <c:v>17822.3</c:v>
                </c:pt>
                <c:pt idx="32">
                  <c:v>17646</c:v>
                </c:pt>
                <c:pt idx="33">
                  <c:v>17790.349999999999</c:v>
                </c:pt>
                <c:pt idx="34">
                  <c:v>17895.2</c:v>
                </c:pt>
                <c:pt idx="35">
                  <c:v>17945.95</c:v>
                </c:pt>
                <c:pt idx="36">
                  <c:v>17991.95</c:v>
                </c:pt>
                <c:pt idx="37">
                  <c:v>18161.75</c:v>
                </c:pt>
                <c:pt idx="38">
                  <c:v>18338.55</c:v>
                </c:pt>
                <c:pt idx="39">
                  <c:v>18477.05</c:v>
                </c:pt>
                <c:pt idx="40">
                  <c:v>18418.75</c:v>
                </c:pt>
                <c:pt idx="41">
                  <c:v>18266.599999999999</c:v>
                </c:pt>
                <c:pt idx="42">
                  <c:v>18178.099999999999</c:v>
                </c:pt>
                <c:pt idx="43">
                  <c:v>18114.900000000001</c:v>
                </c:pt>
                <c:pt idx="44">
                  <c:v>18125.400000000001</c:v>
                </c:pt>
                <c:pt idx="45">
                  <c:v>18268.400000000001</c:v>
                </c:pt>
                <c:pt idx="46">
                  <c:v>18210.95</c:v>
                </c:pt>
                <c:pt idx="47">
                  <c:v>17857.25</c:v>
                </c:pt>
                <c:pt idx="48">
                  <c:v>17671.650000000001</c:v>
                </c:pt>
                <c:pt idx="49">
                  <c:v>17929.650000000001</c:v>
                </c:pt>
                <c:pt idx="50">
                  <c:v>17888.95</c:v>
                </c:pt>
                <c:pt idx="51">
                  <c:v>17829.2</c:v>
                </c:pt>
                <c:pt idx="52">
                  <c:v>17916.8</c:v>
                </c:pt>
                <c:pt idx="53">
                  <c:v>18068.55</c:v>
                </c:pt>
                <c:pt idx="54">
                  <c:v>18044.25</c:v>
                </c:pt>
                <c:pt idx="55">
                  <c:v>18017.2</c:v>
                </c:pt>
                <c:pt idx="56">
                  <c:v>17873.599999999999</c:v>
                </c:pt>
                <c:pt idx="57">
                  <c:v>18102.75</c:v>
                </c:pt>
                <c:pt idx="58">
                  <c:v>18109.45</c:v>
                </c:pt>
                <c:pt idx="59">
                  <c:v>17999.2</c:v>
                </c:pt>
                <c:pt idx="60">
                  <c:v>17898.650000000001</c:v>
                </c:pt>
                <c:pt idx="61">
                  <c:v>17764.8</c:v>
                </c:pt>
                <c:pt idx="62">
                  <c:v>17416.55</c:v>
                </c:pt>
                <c:pt idx="63">
                  <c:v>17503.349999999999</c:v>
                </c:pt>
                <c:pt idx="64">
                  <c:v>17415.05</c:v>
                </c:pt>
                <c:pt idx="65">
                  <c:v>17536.25</c:v>
                </c:pt>
                <c:pt idx="66">
                  <c:v>17026.45</c:v>
                </c:pt>
                <c:pt idx="67">
                  <c:v>17053.95</c:v>
                </c:pt>
                <c:pt idx="68">
                  <c:v>16983.2</c:v>
                </c:pt>
                <c:pt idx="69">
                  <c:v>17166.900000000001</c:v>
                </c:pt>
                <c:pt idx="70">
                  <c:v>17401.650000000001</c:v>
                </c:pt>
                <c:pt idx="71">
                  <c:v>17196.7</c:v>
                </c:pt>
                <c:pt idx="72">
                  <c:v>16912.25</c:v>
                </c:pt>
                <c:pt idx="73">
                  <c:v>17176.7</c:v>
                </c:pt>
                <c:pt idx="74">
                  <c:v>17469.75</c:v>
                </c:pt>
                <c:pt idx="75">
                  <c:v>17516.849999999999</c:v>
                </c:pt>
                <c:pt idx="76">
                  <c:v>17511.3</c:v>
                </c:pt>
                <c:pt idx="77">
                  <c:v>17368.25</c:v>
                </c:pt>
                <c:pt idx="78">
                  <c:v>17324.900000000001</c:v>
                </c:pt>
                <c:pt idx="79">
                  <c:v>17221.400000000001</c:v>
                </c:pt>
                <c:pt idx="80">
                  <c:v>17248.400000000001</c:v>
                </c:pt>
                <c:pt idx="81">
                  <c:v>16985.2</c:v>
                </c:pt>
                <c:pt idx="82">
                  <c:v>16614.2</c:v>
                </c:pt>
                <c:pt idx="83">
                  <c:v>16770.849999999999</c:v>
                </c:pt>
                <c:pt idx="84">
                  <c:v>16955.45</c:v>
                </c:pt>
                <c:pt idx="85">
                  <c:v>17072.599999999999</c:v>
                </c:pt>
                <c:pt idx="86">
                  <c:v>17003.75</c:v>
                </c:pt>
                <c:pt idx="87">
                  <c:v>17086.25</c:v>
                </c:pt>
                <c:pt idx="88">
                  <c:v>17233.25</c:v>
                </c:pt>
                <c:pt idx="89">
                  <c:v>17213.599999999999</c:v>
                </c:pt>
                <c:pt idx="90">
                  <c:v>17203.95</c:v>
                </c:pt>
                <c:pt idx="91">
                  <c:v>17354.05</c:v>
                </c:pt>
                <c:pt idx="92">
                  <c:v>17625.7</c:v>
                </c:pt>
                <c:pt idx="93">
                  <c:v>17805.25</c:v>
                </c:pt>
                <c:pt idx="94">
                  <c:v>17925.25</c:v>
                </c:pt>
                <c:pt idx="95">
                  <c:v>17745.900000000001</c:v>
                </c:pt>
                <c:pt idx="96">
                  <c:v>17812.7</c:v>
                </c:pt>
                <c:pt idx="97">
                  <c:v>18003.3</c:v>
                </c:pt>
                <c:pt idx="98">
                  <c:v>18055.75</c:v>
                </c:pt>
                <c:pt idx="99">
                  <c:v>18212.349999999999</c:v>
                </c:pt>
                <c:pt idx="100">
                  <c:v>18257.8</c:v>
                </c:pt>
                <c:pt idx="101">
                  <c:v>18255.75</c:v>
                </c:pt>
                <c:pt idx="102">
                  <c:v>18308.099999999999</c:v>
                </c:pt>
                <c:pt idx="103">
                  <c:v>18113.05</c:v>
                </c:pt>
                <c:pt idx="104">
                  <c:v>17938.400000000001</c:v>
                </c:pt>
                <c:pt idx="105">
                  <c:v>17757</c:v>
                </c:pt>
                <c:pt idx="106">
                  <c:v>17617.150000000001</c:v>
                </c:pt>
                <c:pt idx="107">
                  <c:v>17149.099999999999</c:v>
                </c:pt>
                <c:pt idx="108">
                  <c:v>17277.95</c:v>
                </c:pt>
                <c:pt idx="109">
                  <c:v>17110.150000000001</c:v>
                </c:pt>
                <c:pt idx="110">
                  <c:v>17101.95</c:v>
                </c:pt>
                <c:pt idx="111">
                  <c:v>17339.849999999999</c:v>
                </c:pt>
                <c:pt idx="112">
                  <c:v>17576.849999999999</c:v>
                </c:pt>
                <c:pt idx="113">
                  <c:v>17780</c:v>
                </c:pt>
                <c:pt idx="114">
                  <c:v>17560.2</c:v>
                </c:pt>
                <c:pt idx="115">
                  <c:v>17516.3</c:v>
                </c:pt>
                <c:pt idx="116">
                  <c:v>17213.599999999999</c:v>
                </c:pt>
                <c:pt idx="117">
                  <c:v>17266.75</c:v>
                </c:pt>
                <c:pt idx="118">
                  <c:v>17463.8</c:v>
                </c:pt>
                <c:pt idx="119">
                  <c:v>17605.849999999999</c:v>
                </c:pt>
                <c:pt idx="120">
                  <c:v>17374.75</c:v>
                </c:pt>
                <c:pt idx="121">
                  <c:v>16842.8</c:v>
                </c:pt>
                <c:pt idx="122">
                  <c:v>17352.45</c:v>
                </c:pt>
                <c:pt idx="123">
                  <c:v>17322.2</c:v>
                </c:pt>
                <c:pt idx="124">
                  <c:v>17304.599999999999</c:v>
                </c:pt>
                <c:pt idx="125">
                  <c:v>17276.3</c:v>
                </c:pt>
                <c:pt idx="126">
                  <c:v>17206.650000000001</c:v>
                </c:pt>
                <c:pt idx="127">
                  <c:v>17092.2</c:v>
                </c:pt>
                <c:pt idx="128">
                  <c:v>17063.25</c:v>
                </c:pt>
                <c:pt idx="129">
                  <c:v>16247.95</c:v>
                </c:pt>
                <c:pt idx="130">
                  <c:v>16658.400000000001</c:v>
                </c:pt>
                <c:pt idx="131">
                  <c:v>16793.900000000001</c:v>
                </c:pt>
                <c:pt idx="132">
                  <c:v>16605.95</c:v>
                </c:pt>
                <c:pt idx="133">
                  <c:v>16498.05</c:v>
                </c:pt>
                <c:pt idx="134">
                  <c:v>16245.35</c:v>
                </c:pt>
                <c:pt idx="135">
                  <c:v>15863.15</c:v>
                </c:pt>
                <c:pt idx="136">
                  <c:v>16013.45</c:v>
                </c:pt>
                <c:pt idx="137">
                  <c:v>16345.35</c:v>
                </c:pt>
                <c:pt idx="138">
                  <c:v>16594.900000000001</c:v>
                </c:pt>
                <c:pt idx="139">
                  <c:v>16630.45</c:v>
                </c:pt>
                <c:pt idx="140">
                  <c:v>16871.3</c:v>
                </c:pt>
                <c:pt idx="141">
                  <c:v>16663</c:v>
                </c:pt>
                <c:pt idx="142">
                  <c:v>16975.349999999999</c:v>
                </c:pt>
                <c:pt idx="143">
                  <c:v>17287.05</c:v>
                </c:pt>
                <c:pt idx="144">
                  <c:v>17117.599999999999</c:v>
                </c:pt>
                <c:pt idx="145">
                  <c:v>17315.5</c:v>
                </c:pt>
                <c:pt idx="146">
                  <c:v>17245.650000000001</c:v>
                </c:pt>
                <c:pt idx="147">
                  <c:v>17222.75</c:v>
                </c:pt>
                <c:pt idx="148">
                  <c:v>17153</c:v>
                </c:pt>
                <c:pt idx="149">
                  <c:v>17222</c:v>
                </c:pt>
                <c:pt idx="150">
                  <c:v>17325.3</c:v>
                </c:pt>
                <c:pt idx="151">
                  <c:v>17498.25</c:v>
                </c:pt>
                <c:pt idx="152">
                  <c:v>17464.75</c:v>
                </c:pt>
                <c:pt idx="153">
                  <c:v>17670.45</c:v>
                </c:pt>
                <c:pt idx="154">
                  <c:v>18053.400000000001</c:v>
                </c:pt>
                <c:pt idx="155">
                  <c:v>17957.400000000001</c:v>
                </c:pt>
                <c:pt idx="156">
                  <c:v>17807.650000000001</c:v>
                </c:pt>
                <c:pt idx="157">
                  <c:v>17639.55</c:v>
                </c:pt>
                <c:pt idx="158">
                  <c:v>17784.349999999999</c:v>
                </c:pt>
                <c:pt idx="159">
                  <c:v>17674.95</c:v>
                </c:pt>
                <c:pt idx="160">
                  <c:v>17530.3</c:v>
                </c:pt>
                <c:pt idx="161">
                  <c:v>17475.650000000001</c:v>
                </c:pt>
                <c:pt idx="162">
                  <c:v>17173.650000000001</c:v>
                </c:pt>
                <c:pt idx="163">
                  <c:v>16958.650000000001</c:v>
                </c:pt>
                <c:pt idx="164">
                  <c:v>17136.55</c:v>
                </c:pt>
                <c:pt idx="165">
                  <c:v>17392.599999999999</c:v>
                </c:pt>
                <c:pt idx="166">
                  <c:v>17171.95</c:v>
                </c:pt>
                <c:pt idx="167">
                  <c:v>16953.95</c:v>
                </c:pt>
                <c:pt idx="168">
                  <c:v>17200.8</c:v>
                </c:pt>
                <c:pt idx="169">
                  <c:v>17038.400000000001</c:v>
                </c:pt>
                <c:pt idx="170">
                  <c:v>17245.05</c:v>
                </c:pt>
                <c:pt idx="171">
                  <c:v>17102.55</c:v>
                </c:pt>
                <c:pt idx="172">
                  <c:v>17069.099999999999</c:v>
                </c:pt>
                <c:pt idx="173">
                  <c:v>16677.599999999999</c:v>
                </c:pt>
                <c:pt idx="174">
                  <c:v>16682.650000000001</c:v>
                </c:pt>
                <c:pt idx="175">
                  <c:v>16411.25</c:v>
                </c:pt>
                <c:pt idx="176">
                  <c:v>16301.85</c:v>
                </c:pt>
                <c:pt idx="177">
                  <c:v>16240.05</c:v>
                </c:pt>
                <c:pt idx="178">
                  <c:v>16167.1</c:v>
                </c:pt>
                <c:pt idx="179">
                  <c:v>15808</c:v>
                </c:pt>
                <c:pt idx="180">
                  <c:v>15782.15</c:v>
                </c:pt>
                <c:pt idx="181">
                  <c:v>15842.3</c:v>
                </c:pt>
                <c:pt idx="182">
                  <c:v>16259.3</c:v>
                </c:pt>
                <c:pt idx="183">
                  <c:v>16240.3</c:v>
                </c:pt>
                <c:pt idx="184">
                  <c:v>15809.4</c:v>
                </c:pt>
                <c:pt idx="185">
                  <c:v>16266.15</c:v>
                </c:pt>
                <c:pt idx="186">
                  <c:v>16214.7</c:v>
                </c:pt>
                <c:pt idx="187">
                  <c:v>16125.15</c:v>
                </c:pt>
                <c:pt idx="188">
                  <c:v>16025.8</c:v>
                </c:pt>
                <c:pt idx="189">
                  <c:v>16170.15</c:v>
                </c:pt>
                <c:pt idx="190">
                  <c:v>16352.45</c:v>
                </c:pt>
                <c:pt idx="191">
                  <c:v>16661.400000000001</c:v>
                </c:pt>
                <c:pt idx="192">
                  <c:v>16584.55</c:v>
                </c:pt>
                <c:pt idx="193">
                  <c:v>16522.75</c:v>
                </c:pt>
                <c:pt idx="194">
                  <c:v>16628</c:v>
                </c:pt>
                <c:pt idx="195">
                  <c:v>16584.3</c:v>
                </c:pt>
                <c:pt idx="196">
                  <c:v>16569.55</c:v>
                </c:pt>
                <c:pt idx="197">
                  <c:v>16416.349999999999</c:v>
                </c:pt>
                <c:pt idx="198">
                  <c:v>16356.25</c:v>
                </c:pt>
                <c:pt idx="199">
                  <c:v>16478.099999999999</c:v>
                </c:pt>
                <c:pt idx="200">
                  <c:v>16201.8</c:v>
                </c:pt>
                <c:pt idx="201">
                  <c:v>15774.4</c:v>
                </c:pt>
                <c:pt idx="202">
                  <c:v>15732.1</c:v>
                </c:pt>
                <c:pt idx="203">
                  <c:v>15692.15</c:v>
                </c:pt>
                <c:pt idx="204">
                  <c:v>15360.6</c:v>
                </c:pt>
                <c:pt idx="205">
                  <c:v>15293.5</c:v>
                </c:pt>
                <c:pt idx="206">
                  <c:v>15350.15</c:v>
                </c:pt>
                <c:pt idx="207">
                  <c:v>15638.8</c:v>
                </c:pt>
                <c:pt idx="208">
                  <c:v>15413.3</c:v>
                </c:pt>
                <c:pt idx="209">
                  <c:v>15556.65</c:v>
                </c:pt>
                <c:pt idx="210">
                  <c:v>15699.25</c:v>
                </c:pt>
                <c:pt idx="211">
                  <c:v>15832.05</c:v>
                </c:pt>
                <c:pt idx="212">
                  <c:v>15850.2</c:v>
                </c:pt>
                <c:pt idx="213">
                  <c:v>15799.1</c:v>
                </c:pt>
                <c:pt idx="214">
                  <c:v>15780.25</c:v>
                </c:pt>
                <c:pt idx="215">
                  <c:v>15752.05</c:v>
                </c:pt>
                <c:pt idx="216">
                  <c:v>15835.35</c:v>
                </c:pt>
                <c:pt idx="217">
                  <c:v>15810.85</c:v>
                </c:pt>
                <c:pt idx="218">
                  <c:v>15989.8</c:v>
                </c:pt>
                <c:pt idx="219">
                  <c:v>16132.9</c:v>
                </c:pt>
                <c:pt idx="220">
                  <c:v>16220.6</c:v>
                </c:pt>
                <c:pt idx="221">
                  <c:v>16216</c:v>
                </c:pt>
                <c:pt idx="222">
                  <c:v>16058.3</c:v>
                </c:pt>
                <c:pt idx="223">
                  <c:v>15966.65</c:v>
                </c:pt>
                <c:pt idx="224">
                  <c:v>15938.65</c:v>
                </c:pt>
                <c:pt idx="225">
                  <c:v>16049.2</c:v>
                </c:pt>
                <c:pt idx="226">
                  <c:v>16278.5</c:v>
                </c:pt>
                <c:pt idx="227">
                  <c:v>16340.55</c:v>
                </c:pt>
                <c:pt idx="228">
                  <c:v>16520.849999999999</c:v>
                </c:pt>
                <c:pt idx="229">
                  <c:v>16605.25</c:v>
                </c:pt>
                <c:pt idx="230">
                  <c:v>16719.45</c:v>
                </c:pt>
                <c:pt idx="231">
                  <c:v>16631</c:v>
                </c:pt>
                <c:pt idx="232">
                  <c:v>16483.849999999999</c:v>
                </c:pt>
                <c:pt idx="233">
                  <c:v>16641.8</c:v>
                </c:pt>
                <c:pt idx="234">
                  <c:v>16929.599999999999</c:v>
                </c:pt>
                <c:pt idx="235">
                  <c:v>17158.25</c:v>
                </c:pt>
                <c:pt idx="236">
                  <c:v>17340.05</c:v>
                </c:pt>
                <c:pt idx="237">
                  <c:v>17345.45</c:v>
                </c:pt>
                <c:pt idx="238">
                  <c:v>17388.150000000001</c:v>
                </c:pt>
                <c:pt idx="239">
                  <c:v>17382</c:v>
                </c:pt>
                <c:pt idx="240">
                  <c:v>17397.5</c:v>
                </c:pt>
                <c:pt idx="241">
                  <c:v>17525.099999999999</c:v>
                </c:pt>
                <c:pt idx="242">
                  <c:v>17534.75</c:v>
                </c:pt>
                <c:pt idx="243">
                  <c:v>17659</c:v>
                </c:pt>
                <c:pt idx="244">
                  <c:v>17698.150000000001</c:v>
                </c:pt>
                <c:pt idx="245">
                  <c:v>17825.25</c:v>
                </c:pt>
                <c:pt idx="246">
                  <c:v>17944.25</c:v>
                </c:pt>
                <c:pt idx="247">
                  <c:v>17956.5</c:v>
                </c:pt>
                <c:pt idx="248">
                  <c:v>17758.45</c:v>
                </c:pt>
                <c:pt idx="249">
                  <c:v>17490.7</c:v>
                </c:pt>
                <c:pt idx="250">
                  <c:v>17577.5</c:v>
                </c:pt>
                <c:pt idx="251">
                  <c:v>17604.95</c:v>
                </c:pt>
                <c:pt idx="252">
                  <c:v>17522.45</c:v>
                </c:pt>
                <c:pt idx="253">
                  <c:v>17558.900000000001</c:v>
                </c:pt>
                <c:pt idx="254">
                  <c:v>17312.900000000001</c:v>
                </c:pt>
                <c:pt idx="255">
                  <c:v>17759.3</c:v>
                </c:pt>
                <c:pt idx="256">
                  <c:v>17542.8</c:v>
                </c:pt>
                <c:pt idx="257">
                  <c:v>17539.45</c:v>
                </c:pt>
                <c:pt idx="258">
                  <c:v>17665.8</c:v>
                </c:pt>
                <c:pt idx="259">
                  <c:v>17655.599999999999</c:v>
                </c:pt>
                <c:pt idx="260">
                  <c:v>17624.400000000001</c:v>
                </c:pt>
                <c:pt idx="261">
                  <c:v>17798.75</c:v>
                </c:pt>
                <c:pt idx="262">
                  <c:v>17833.349999999999</c:v>
                </c:pt>
                <c:pt idx="263">
                  <c:v>17936.349999999999</c:v>
                </c:pt>
                <c:pt idx="264">
                  <c:v>18070.05</c:v>
                </c:pt>
                <c:pt idx="265">
                  <c:v>18003.75</c:v>
                </c:pt>
                <c:pt idx="266">
                  <c:v>17877.400000000001</c:v>
                </c:pt>
                <c:pt idx="267">
                  <c:v>17530.849999999999</c:v>
                </c:pt>
                <c:pt idx="268">
                  <c:v>17622.25</c:v>
                </c:pt>
                <c:pt idx="269">
                  <c:v>17816.25</c:v>
                </c:pt>
                <c:pt idx="270">
                  <c:v>17718.349999999999</c:v>
                </c:pt>
                <c:pt idx="271">
                  <c:v>17629.8</c:v>
                </c:pt>
                <c:pt idx="272">
                  <c:v>17327.349999999999</c:v>
                </c:pt>
                <c:pt idx="273">
                  <c:v>17016.3</c:v>
                </c:pt>
                <c:pt idx="274">
                  <c:v>17007.400000000001</c:v>
                </c:pt>
                <c:pt idx="275">
                  <c:v>16858.599999999999</c:v>
                </c:pt>
                <c:pt idx="276">
                  <c:v>16818.099999999999</c:v>
                </c:pt>
                <c:pt idx="277">
                  <c:v>17094.349999999999</c:v>
                </c:pt>
                <c:pt idx="278">
                  <c:v>16887.349999999999</c:v>
                </c:pt>
                <c:pt idx="279">
                  <c:v>17274.3</c:v>
                </c:pt>
                <c:pt idx="280">
                  <c:v>17331.8</c:v>
                </c:pt>
                <c:pt idx="281">
                  <c:v>17314.650000000001</c:v>
                </c:pt>
                <c:pt idx="282">
                  <c:v>17241</c:v>
                </c:pt>
                <c:pt idx="283">
                  <c:v>16983.55</c:v>
                </c:pt>
                <c:pt idx="284">
                  <c:v>17123.599999999999</c:v>
                </c:pt>
                <c:pt idx="285">
                  <c:v>17014.349999999999</c:v>
                </c:pt>
                <c:pt idx="286">
                  <c:v>17185.7</c:v>
                </c:pt>
                <c:pt idx="287">
                  <c:v>17311.8</c:v>
                </c:pt>
                <c:pt idx="288">
                  <c:v>17486.95</c:v>
                </c:pt>
                <c:pt idx="289">
                  <c:v>17512.25</c:v>
                </c:pt>
                <c:pt idx="290">
                  <c:v>17563.95</c:v>
                </c:pt>
                <c:pt idx="291">
                  <c:v>17576.3</c:v>
                </c:pt>
                <c:pt idx="292">
                  <c:v>17730.75</c:v>
                </c:pt>
                <c:pt idx="293">
                  <c:v>17656.349999999999</c:v>
                </c:pt>
                <c:pt idx="294">
                  <c:v>17736.95</c:v>
                </c:pt>
                <c:pt idx="295">
                  <c:v>17786.8</c:v>
                </c:pt>
                <c:pt idx="296">
                  <c:v>18012.2</c:v>
                </c:pt>
                <c:pt idx="297">
                  <c:v>18145.400000000001</c:v>
                </c:pt>
                <c:pt idx="298">
                  <c:v>18082.849999999999</c:v>
                </c:pt>
                <c:pt idx="299">
                  <c:v>18052.7</c:v>
                </c:pt>
                <c:pt idx="300">
                  <c:v>18117.150000000001</c:v>
                </c:pt>
                <c:pt idx="301">
                  <c:v>18202.8</c:v>
                </c:pt>
                <c:pt idx="302">
                  <c:v>18157</c:v>
                </c:pt>
                <c:pt idx="303">
                  <c:v>18028.2</c:v>
                </c:pt>
                <c:pt idx="304">
                  <c:v>18349.7</c:v>
                </c:pt>
                <c:pt idx="305">
                  <c:v>18329.150000000001</c:v>
                </c:pt>
                <c:pt idx="306">
                  <c:v>18403.400000000001</c:v>
                </c:pt>
                <c:pt idx="307">
                  <c:v>18409.650000000001</c:v>
                </c:pt>
                <c:pt idx="308">
                  <c:v>18343.900000000001</c:v>
                </c:pt>
                <c:pt idx="309">
                  <c:v>18307.650000000001</c:v>
                </c:pt>
                <c:pt idx="310">
                  <c:v>18159.95</c:v>
                </c:pt>
                <c:pt idx="311">
                  <c:v>18244.2</c:v>
                </c:pt>
                <c:pt idx="312">
                  <c:v>18267.25</c:v>
                </c:pt>
                <c:pt idx="313">
                  <c:v>18484.099999999999</c:v>
                </c:pt>
                <c:pt idx="314">
                  <c:v>18512.75</c:v>
                </c:pt>
                <c:pt idx="315">
                  <c:v>18562.75</c:v>
                </c:pt>
                <c:pt idx="316">
                  <c:v>18618.05</c:v>
                </c:pt>
                <c:pt idx="317">
                  <c:v>18758.349999999999</c:v>
                </c:pt>
                <c:pt idx="318">
                  <c:v>18812.5</c:v>
                </c:pt>
                <c:pt idx="319">
                  <c:v>18696.099999999999</c:v>
                </c:pt>
                <c:pt idx="320">
                  <c:v>18701.05</c:v>
                </c:pt>
                <c:pt idx="321">
                  <c:v>18642.75</c:v>
                </c:pt>
                <c:pt idx="322">
                  <c:v>18560.5</c:v>
                </c:pt>
                <c:pt idx="323">
                  <c:v>18609.349999999999</c:v>
                </c:pt>
                <c:pt idx="324">
                  <c:v>18496.599999999999</c:v>
                </c:pt>
                <c:pt idx="325">
                  <c:v>18497.150000000001</c:v>
                </c:pt>
                <c:pt idx="326">
                  <c:v>18608</c:v>
                </c:pt>
                <c:pt idx="327">
                  <c:v>18660.3</c:v>
                </c:pt>
                <c:pt idx="328">
                  <c:v>18414.900000000001</c:v>
                </c:pt>
                <c:pt idx="329">
                  <c:v>18269</c:v>
                </c:pt>
                <c:pt idx="330">
                  <c:v>18420.45</c:v>
                </c:pt>
                <c:pt idx="331">
                  <c:v>18385.3</c:v>
                </c:pt>
                <c:pt idx="332">
                  <c:v>18199.099999999999</c:v>
                </c:pt>
                <c:pt idx="333">
                  <c:v>18127.349999999999</c:v>
                </c:pt>
                <c:pt idx="334">
                  <c:v>17806.8</c:v>
                </c:pt>
                <c:pt idx="335">
                  <c:v>18014.599999999999</c:v>
                </c:pt>
                <c:pt idx="336">
                  <c:v>18132.3</c:v>
                </c:pt>
                <c:pt idx="337">
                  <c:v>18122.5</c:v>
                </c:pt>
                <c:pt idx="338">
                  <c:v>18191</c:v>
                </c:pt>
                <c:pt idx="339">
                  <c:v>18105.3</c:v>
                </c:pt>
                <c:pt idx="340">
                  <c:v>18197.45</c:v>
                </c:pt>
                <c:pt idx="341">
                  <c:v>18232.55</c:v>
                </c:pt>
                <c:pt idx="342">
                  <c:v>18042.95</c:v>
                </c:pt>
                <c:pt idx="343">
                  <c:v>17992.150000000001</c:v>
                </c:pt>
                <c:pt idx="344">
                  <c:v>17859.45</c:v>
                </c:pt>
                <c:pt idx="345">
                  <c:v>18101.2</c:v>
                </c:pt>
                <c:pt idx="346">
                  <c:v>17914.150000000001</c:v>
                </c:pt>
                <c:pt idx="347">
                  <c:v>17895.7</c:v>
                </c:pt>
                <c:pt idx="348">
                  <c:v>17858.2</c:v>
                </c:pt>
                <c:pt idx="349">
                  <c:v>17956.599999999999</c:v>
                </c:pt>
                <c:pt idx="350">
                  <c:v>17894.849999999999</c:v>
                </c:pt>
                <c:pt idx="351">
                  <c:v>18053.3</c:v>
                </c:pt>
                <c:pt idx="352">
                  <c:v>18165.349999999999</c:v>
                </c:pt>
                <c:pt idx="353">
                  <c:v>18107.849999999999</c:v>
                </c:pt>
                <c:pt idx="354">
                  <c:v>18027.650000000001</c:v>
                </c:pt>
                <c:pt idx="355">
                  <c:v>18118.55</c:v>
                </c:pt>
                <c:pt idx="356">
                  <c:v>18118.3</c:v>
                </c:pt>
                <c:pt idx="357">
                  <c:v>17891.95</c:v>
                </c:pt>
                <c:pt idx="358">
                  <c:v>17604.349999999999</c:v>
                </c:pt>
                <c:pt idx="359">
                  <c:v>17648.95</c:v>
                </c:pt>
                <c:pt idx="360">
                  <c:v>17662.150000000001</c:v>
                </c:pt>
                <c:pt idx="361">
                  <c:v>17616.3</c:v>
                </c:pt>
                <c:pt idx="362">
                  <c:v>17610.400000000001</c:v>
                </c:pt>
                <c:pt idx="363">
                  <c:v>17854.05</c:v>
                </c:pt>
                <c:pt idx="364">
                  <c:v>17764.599999999999</c:v>
                </c:pt>
                <c:pt idx="365">
                  <c:v>17721.5</c:v>
                </c:pt>
                <c:pt idx="366">
                  <c:v>17871.7</c:v>
                </c:pt>
                <c:pt idx="367">
                  <c:v>17893.45</c:v>
                </c:pt>
                <c:pt idx="368">
                  <c:v>17856.5</c:v>
                </c:pt>
                <c:pt idx="369">
                  <c:v>17770.900000000001</c:v>
                </c:pt>
                <c:pt idx="370">
                  <c:v>17929.849999999999</c:v>
                </c:pt>
                <c:pt idx="371">
                  <c:v>18015.849999999999</c:v>
                </c:pt>
                <c:pt idx="372">
                  <c:v>18035.849999999999</c:v>
                </c:pt>
                <c:pt idx="373">
                  <c:v>17944.2</c:v>
                </c:pt>
                <c:pt idx="374">
                  <c:v>17844.599999999999</c:v>
                </c:pt>
                <c:pt idx="375">
                  <c:v>17826.7</c:v>
                </c:pt>
                <c:pt idx="376">
                  <c:v>17554.3</c:v>
                </c:pt>
                <c:pt idx="377">
                  <c:v>17511.25</c:v>
                </c:pt>
                <c:pt idx="378">
                  <c:v>17465.8</c:v>
                </c:pt>
                <c:pt idx="379">
                  <c:v>17392.7</c:v>
                </c:pt>
                <c:pt idx="380">
                  <c:v>17303.95</c:v>
                </c:pt>
                <c:pt idx="381">
                  <c:v>17450.900000000001</c:v>
                </c:pt>
                <c:pt idx="382">
                  <c:v>17321.900000000001</c:v>
                </c:pt>
                <c:pt idx="383">
                  <c:v>17594.349999999999</c:v>
                </c:pt>
                <c:pt idx="384">
                  <c:v>17711.45</c:v>
                </c:pt>
                <c:pt idx="385">
                  <c:v>17754.400000000001</c:v>
                </c:pt>
                <c:pt idx="386">
                  <c:v>17589.599999999999</c:v>
                </c:pt>
                <c:pt idx="387">
                  <c:v>17412.900000000001</c:v>
                </c:pt>
                <c:pt idx="388">
                  <c:v>17154.3</c:v>
                </c:pt>
                <c:pt idx="389">
                  <c:v>17043.3</c:v>
                </c:pt>
                <c:pt idx="390">
                  <c:v>16972.150000000001</c:v>
                </c:pt>
                <c:pt idx="391">
                  <c:v>16985.599999999999</c:v>
                </c:pt>
                <c:pt idx="392">
                  <c:v>17100.05</c:v>
                </c:pt>
                <c:pt idx="393">
                  <c:v>16988.400000000001</c:v>
                </c:pt>
                <c:pt idx="394">
                  <c:v>17107.5</c:v>
                </c:pt>
                <c:pt idx="395">
                  <c:v>17151.900000000001</c:v>
                </c:pt>
                <c:pt idx="396">
                  <c:v>17076.900000000001</c:v>
                </c:pt>
                <c:pt idx="397">
                  <c:v>16945.05</c:v>
                </c:pt>
                <c:pt idx="398">
                  <c:v>16985.7</c:v>
                </c:pt>
                <c:pt idx="399">
                  <c:v>16951.7</c:v>
                </c:pt>
                <c:pt idx="400">
                  <c:v>17080.7</c:v>
                </c:pt>
                <c:pt idx="401">
                  <c:v>17359.75</c:v>
                </c:pt>
                <c:pt idx="402">
                  <c:v>17398.05</c:v>
                </c:pt>
                <c:pt idx="403">
                  <c:v>17557.05</c:v>
                </c:pt>
                <c:pt idx="404">
                  <c:v>17599.150000000001</c:v>
                </c:pt>
                <c:pt idx="405">
                  <c:v>17624.05</c:v>
                </c:pt>
                <c:pt idx="406">
                  <c:v>17722.3</c:v>
                </c:pt>
                <c:pt idx="407">
                  <c:v>17812.400000000001</c:v>
                </c:pt>
                <c:pt idx="408">
                  <c:v>17828</c:v>
                </c:pt>
                <c:pt idx="409">
                  <c:v>17706.849999999999</c:v>
                </c:pt>
                <c:pt idx="410">
                  <c:v>17660.150000000001</c:v>
                </c:pt>
                <c:pt idx="411">
                  <c:v>17618.75</c:v>
                </c:pt>
                <c:pt idx="412">
                  <c:v>17624.45</c:v>
                </c:pt>
                <c:pt idx="413">
                  <c:v>17624.05</c:v>
                </c:pt>
                <c:pt idx="414">
                  <c:v>17743.400000000001</c:v>
                </c:pt>
                <c:pt idx="415">
                  <c:v>17769.25</c:v>
                </c:pt>
                <c:pt idx="416">
                  <c:v>17813.599999999999</c:v>
                </c:pt>
                <c:pt idx="417">
                  <c:v>17915.05</c:v>
                </c:pt>
                <c:pt idx="418">
                  <c:v>18065</c:v>
                </c:pt>
                <c:pt idx="419">
                  <c:v>18147.650000000001</c:v>
                </c:pt>
                <c:pt idx="420">
                  <c:v>18089.849999999999</c:v>
                </c:pt>
                <c:pt idx="421">
                  <c:v>18255.8</c:v>
                </c:pt>
                <c:pt idx="422">
                  <c:v>18069</c:v>
                </c:pt>
                <c:pt idx="423">
                  <c:v>18264.400000000001</c:v>
                </c:pt>
                <c:pt idx="424">
                  <c:v>18265.95</c:v>
                </c:pt>
                <c:pt idx="425">
                  <c:v>18315.099999999999</c:v>
                </c:pt>
                <c:pt idx="426">
                  <c:v>18297</c:v>
                </c:pt>
                <c:pt idx="427">
                  <c:v>18314.8</c:v>
                </c:pt>
                <c:pt idx="428">
                  <c:v>18398.849999999999</c:v>
                </c:pt>
                <c:pt idx="429">
                  <c:v>18286.5</c:v>
                </c:pt>
                <c:pt idx="430">
                  <c:v>18181.75</c:v>
                </c:pt>
                <c:pt idx="431">
                  <c:v>18129.95</c:v>
                </c:pt>
                <c:pt idx="432">
                  <c:v>18203.400000000001</c:v>
                </c:pt>
                <c:pt idx="433">
                  <c:v>18314.400000000001</c:v>
                </c:pt>
                <c:pt idx="434">
                  <c:v>18348</c:v>
                </c:pt>
                <c:pt idx="435">
                  <c:v>18285.400000000001</c:v>
                </c:pt>
                <c:pt idx="436">
                  <c:v>18321.150000000001</c:v>
                </c:pt>
                <c:pt idx="437">
                  <c:v>18499.349999999999</c:v>
                </c:pt>
                <c:pt idx="438">
                  <c:v>18598.650000000001</c:v>
                </c:pt>
                <c:pt idx="439">
                  <c:v>18633.849999999999</c:v>
                </c:pt>
                <c:pt idx="440">
                  <c:v>18534.400000000001</c:v>
                </c:pt>
                <c:pt idx="441">
                  <c:v>18487.75</c:v>
                </c:pt>
                <c:pt idx="442">
                  <c:v>18534.099999999999</c:v>
                </c:pt>
                <c:pt idx="443">
                  <c:v>18593.849999999999</c:v>
                </c:pt>
                <c:pt idx="444">
                  <c:v>18599</c:v>
                </c:pt>
                <c:pt idx="445">
                  <c:v>18726.400000000001</c:v>
                </c:pt>
                <c:pt idx="446">
                  <c:v>18634.55</c:v>
                </c:pt>
                <c:pt idx="447">
                  <c:v>18563.400000000001</c:v>
                </c:pt>
                <c:pt idx="448">
                  <c:v>18601.5</c:v>
                </c:pt>
                <c:pt idx="449">
                  <c:v>18716.150000000001</c:v>
                </c:pt>
                <c:pt idx="450">
                  <c:v>18755.900000000001</c:v>
                </c:pt>
                <c:pt idx="451">
                  <c:v>18688.099999999999</c:v>
                </c:pt>
                <c:pt idx="452">
                  <c:v>18826</c:v>
                </c:pt>
                <c:pt idx="453">
                  <c:v>18755.45</c:v>
                </c:pt>
                <c:pt idx="454">
                  <c:v>18816.7</c:v>
                </c:pt>
                <c:pt idx="455">
                  <c:v>18856.849999999999</c:v>
                </c:pt>
                <c:pt idx="456">
                  <c:v>18771.25</c:v>
                </c:pt>
                <c:pt idx="457">
                  <c:v>18665.5</c:v>
                </c:pt>
                <c:pt idx="458">
                  <c:v>18691.2</c:v>
                </c:pt>
                <c:pt idx="459">
                  <c:v>18817.400000000001</c:v>
                </c:pt>
                <c:pt idx="460">
                  <c:v>18972.099999999999</c:v>
                </c:pt>
                <c:pt idx="461">
                  <c:v>19189.05</c:v>
                </c:pt>
                <c:pt idx="462">
                  <c:v>19322.55</c:v>
                </c:pt>
                <c:pt idx="463">
                  <c:v>19389</c:v>
                </c:pt>
                <c:pt idx="464">
                  <c:v>19398.5</c:v>
                </c:pt>
                <c:pt idx="465">
                  <c:v>19497.3</c:v>
                </c:pt>
                <c:pt idx="466">
                  <c:v>19331.8</c:v>
                </c:pt>
                <c:pt idx="467">
                  <c:v>19355.900000000001</c:v>
                </c:pt>
                <c:pt idx="468">
                  <c:v>19439.400000000001</c:v>
                </c:pt>
                <c:pt idx="469">
                  <c:v>19384.3</c:v>
                </c:pt>
                <c:pt idx="470">
                  <c:v>19413.75</c:v>
                </c:pt>
                <c:pt idx="471">
                  <c:v>19564.5</c:v>
                </c:pt>
                <c:pt idx="472">
                  <c:v>19711.45</c:v>
                </c:pt>
                <c:pt idx="473">
                  <c:v>19749.25</c:v>
                </c:pt>
                <c:pt idx="474">
                  <c:v>19833.150000000001</c:v>
                </c:pt>
                <c:pt idx="475">
                  <c:v>19979.150000000001</c:v>
                </c:pt>
                <c:pt idx="476">
                  <c:v>19745</c:v>
                </c:pt>
                <c:pt idx="477">
                  <c:v>19672.349999999999</c:v>
                </c:pt>
                <c:pt idx="478">
                  <c:v>19680.599999999999</c:v>
                </c:pt>
                <c:pt idx="479">
                  <c:v>19778.3</c:v>
                </c:pt>
                <c:pt idx="480">
                  <c:v>19659.900000000001</c:v>
                </c:pt>
                <c:pt idx="481">
                  <c:v>19646.05</c:v>
                </c:pt>
                <c:pt idx="482">
                  <c:v>19753.8</c:v>
                </c:pt>
                <c:pt idx="483">
                  <c:v>19733.55</c:v>
                </c:pt>
                <c:pt idx="484">
                  <c:v>19526.55</c:v>
                </c:pt>
                <c:pt idx="485">
                  <c:v>19381.650000000001</c:v>
                </c:pt>
                <c:pt idx="486">
                  <c:v>19517</c:v>
                </c:pt>
                <c:pt idx="487">
                  <c:v>19597.3</c:v>
                </c:pt>
                <c:pt idx="488">
                  <c:v>19570.849999999999</c:v>
                </c:pt>
                <c:pt idx="489">
                  <c:v>19632.55</c:v>
                </c:pt>
                <c:pt idx="490">
                  <c:v>19543.099999999999</c:v>
                </c:pt>
                <c:pt idx="491">
                  <c:v>19428.3</c:v>
                </c:pt>
                <c:pt idx="492">
                  <c:v>19434.55</c:v>
                </c:pt>
                <c:pt idx="493">
                  <c:v>19465</c:v>
                </c:pt>
                <c:pt idx="494">
                  <c:v>19365.25</c:v>
                </c:pt>
                <c:pt idx="495">
                  <c:v>19310.150000000001</c:v>
                </c:pt>
                <c:pt idx="496">
                  <c:v>19393.599999999999</c:v>
                </c:pt>
                <c:pt idx="497">
                  <c:v>19396.45</c:v>
                </c:pt>
                <c:pt idx="498">
                  <c:v>19444</c:v>
                </c:pt>
                <c:pt idx="499">
                  <c:v>19386.7</c:v>
                </c:pt>
                <c:pt idx="500">
                  <c:v>19265.8</c:v>
                </c:pt>
                <c:pt idx="501">
                  <c:v>19306.05</c:v>
                </c:pt>
                <c:pt idx="502">
                  <c:v>19342.650000000001</c:v>
                </c:pt>
                <c:pt idx="503">
                  <c:v>19347.45</c:v>
                </c:pt>
                <c:pt idx="504">
                  <c:v>19253.8</c:v>
                </c:pt>
                <c:pt idx="505">
                  <c:v>19435.3</c:v>
                </c:pt>
                <c:pt idx="506">
                  <c:v>19528.8</c:v>
                </c:pt>
                <c:pt idx="507">
                  <c:v>19574.900000000001</c:v>
                </c:pt>
                <c:pt idx="508">
                  <c:v>19611.05</c:v>
                </c:pt>
                <c:pt idx="509">
                  <c:v>19727.05</c:v>
                </c:pt>
                <c:pt idx="510">
                  <c:v>19819.95</c:v>
                </c:pt>
                <c:pt idx="511">
                  <c:v>19996.349999999999</c:v>
                </c:pt>
                <c:pt idx="512">
                  <c:v>19993.2</c:v>
                </c:pt>
                <c:pt idx="513">
                  <c:v>20070</c:v>
                </c:pt>
                <c:pt idx="514">
                  <c:v>20103.099999999999</c:v>
                </c:pt>
                <c:pt idx="515">
                  <c:v>20192.349999999999</c:v>
                </c:pt>
                <c:pt idx="516">
                  <c:v>20133.3</c:v>
                </c:pt>
                <c:pt idx="517">
                  <c:v>19901.400000000001</c:v>
                </c:pt>
                <c:pt idx="518">
                  <c:v>19742.349999999999</c:v>
                </c:pt>
                <c:pt idx="519">
                  <c:v>19674.25</c:v>
                </c:pt>
                <c:pt idx="520">
                  <c:v>19674.55</c:v>
                </c:pt>
                <c:pt idx="521">
                  <c:v>19664.7</c:v>
                </c:pt>
                <c:pt idx="522">
                  <c:v>19716.45</c:v>
                </c:pt>
                <c:pt idx="523">
                  <c:v>19523.55</c:v>
                </c:pt>
                <c:pt idx="524">
                  <c:v>19638.3</c:v>
                </c:pt>
                <c:pt idx="525">
                  <c:v>19528.75</c:v>
                </c:pt>
                <c:pt idx="526">
                  <c:v>19436.099999999999</c:v>
                </c:pt>
                <c:pt idx="527">
                  <c:v>19545.75</c:v>
                </c:pt>
                <c:pt idx="528">
                  <c:v>19653.5</c:v>
                </c:pt>
                <c:pt idx="529">
                  <c:v>19512.349999999999</c:v>
                </c:pt>
                <c:pt idx="530">
                  <c:v>19689.849999999999</c:v>
                </c:pt>
                <c:pt idx="531">
                  <c:v>19811.349999999999</c:v>
                </c:pt>
                <c:pt idx="532">
                  <c:v>19794</c:v>
                </c:pt>
                <c:pt idx="533">
                  <c:v>19751.05</c:v>
                </c:pt>
                <c:pt idx="534">
                  <c:v>19731.75</c:v>
                </c:pt>
                <c:pt idx="535">
                  <c:v>19811.5</c:v>
                </c:pt>
                <c:pt idx="536">
                  <c:v>19671.099999999999</c:v>
                </c:pt>
                <c:pt idx="537">
                  <c:v>19624.7</c:v>
                </c:pt>
                <c:pt idx="538">
                  <c:v>19542.650000000001</c:v>
                </c:pt>
                <c:pt idx="539">
                  <c:v>19281.75</c:v>
                </c:pt>
                <c:pt idx="540">
                  <c:v>19122.150000000001</c:v>
                </c:pt>
                <c:pt idx="541">
                  <c:v>18857.25</c:v>
                </c:pt>
                <c:pt idx="542">
                  <c:v>19047.25</c:v>
                </c:pt>
                <c:pt idx="543">
                  <c:v>19140.900000000001</c:v>
                </c:pt>
                <c:pt idx="544">
                  <c:v>19079.599999999999</c:v>
                </c:pt>
                <c:pt idx="545">
                  <c:v>18989.150000000001</c:v>
                </c:pt>
                <c:pt idx="546">
                  <c:v>19133.25</c:v>
                </c:pt>
                <c:pt idx="547">
                  <c:v>19230.599999999999</c:v>
                </c:pt>
                <c:pt idx="548">
                  <c:v>19411.75</c:v>
                </c:pt>
                <c:pt idx="549">
                  <c:v>19406.7</c:v>
                </c:pt>
                <c:pt idx="550">
                  <c:v>19443.5</c:v>
                </c:pt>
                <c:pt idx="551">
                  <c:v>19395.3</c:v>
                </c:pt>
                <c:pt idx="552">
                  <c:v>19425.349999999999</c:v>
                </c:pt>
                <c:pt idx="553">
                  <c:v>19525.55</c:v>
                </c:pt>
                <c:pt idx="554">
                  <c:v>19443.55</c:v>
                </c:pt>
                <c:pt idx="555">
                  <c:v>19675.45</c:v>
                </c:pt>
                <c:pt idx="556">
                  <c:v>19765.2</c:v>
                </c:pt>
                <c:pt idx="557">
                  <c:v>19731.8</c:v>
                </c:pt>
                <c:pt idx="558">
                  <c:v>19694</c:v>
                </c:pt>
                <c:pt idx="559">
                  <c:v>19783.400000000001</c:v>
                </c:pt>
                <c:pt idx="560">
                  <c:v>19811.849999999999</c:v>
                </c:pt>
                <c:pt idx="561">
                  <c:v>19802</c:v>
                </c:pt>
                <c:pt idx="562">
                  <c:v>19794.7</c:v>
                </c:pt>
                <c:pt idx="563">
                  <c:v>19889.7</c:v>
                </c:pt>
                <c:pt idx="564">
                  <c:v>20096.599999999999</c:v>
                </c:pt>
                <c:pt idx="565">
                  <c:v>20133.150000000001</c:v>
                </c:pt>
                <c:pt idx="566">
                  <c:v>20267.900000000001</c:v>
                </c:pt>
                <c:pt idx="567">
                  <c:v>20686.8</c:v>
                </c:pt>
                <c:pt idx="568">
                  <c:v>20855.099999999999</c:v>
                </c:pt>
                <c:pt idx="569">
                  <c:v>20937.7</c:v>
                </c:pt>
                <c:pt idx="570">
                  <c:v>20901.150000000001</c:v>
                </c:pt>
                <c:pt idx="571">
                  <c:v>20969.400000000001</c:v>
                </c:pt>
                <c:pt idx="572">
                  <c:v>20997.1</c:v>
                </c:pt>
                <c:pt idx="573">
                  <c:v>20906.400000000001</c:v>
                </c:pt>
                <c:pt idx="574">
                  <c:v>20926.349999999999</c:v>
                </c:pt>
                <c:pt idx="575">
                  <c:v>21182.7</c:v>
                </c:pt>
                <c:pt idx="576">
                  <c:v>21456.65</c:v>
                </c:pt>
                <c:pt idx="577">
                  <c:v>21418.65</c:v>
                </c:pt>
                <c:pt idx="578">
                  <c:v>21453.1</c:v>
                </c:pt>
                <c:pt idx="579">
                  <c:v>21150.15</c:v>
                </c:pt>
                <c:pt idx="580">
                  <c:v>21255.05</c:v>
                </c:pt>
                <c:pt idx="581">
                  <c:v>21349.4</c:v>
                </c:pt>
                <c:pt idx="582">
                  <c:v>21441.35</c:v>
                </c:pt>
                <c:pt idx="583">
                  <c:v>21654.75</c:v>
                </c:pt>
                <c:pt idx="584">
                  <c:v>21778.7</c:v>
                </c:pt>
                <c:pt idx="585">
                  <c:v>21731.4</c:v>
                </c:pt>
                <c:pt idx="586">
                  <c:v>21741.9</c:v>
                </c:pt>
                <c:pt idx="587">
                  <c:v>21665.8</c:v>
                </c:pt>
                <c:pt idx="588">
                  <c:v>21517.35</c:v>
                </c:pt>
                <c:pt idx="589">
                  <c:v>21658.6</c:v>
                </c:pt>
                <c:pt idx="590">
                  <c:v>21710.799999999999</c:v>
                </c:pt>
                <c:pt idx="591">
                  <c:v>21513</c:v>
                </c:pt>
                <c:pt idx="592">
                  <c:v>21544.85</c:v>
                </c:pt>
                <c:pt idx="593">
                  <c:v>21618.7</c:v>
                </c:pt>
                <c:pt idx="594">
                  <c:v>21647.200000000001</c:v>
                </c:pt>
                <c:pt idx="595">
                  <c:v>21894.55</c:v>
                </c:pt>
                <c:pt idx="596">
                  <c:v>22097.45</c:v>
                </c:pt>
                <c:pt idx="597">
                  <c:v>22032.3</c:v>
                </c:pt>
                <c:pt idx="598">
                  <c:v>21571.95</c:v>
                </c:pt>
                <c:pt idx="599">
                  <c:v>21462.25</c:v>
                </c:pt>
                <c:pt idx="600">
                  <c:v>21622.400000000001</c:v>
                </c:pt>
                <c:pt idx="601">
                  <c:v>21571.8</c:v>
                </c:pt>
                <c:pt idx="602">
                  <c:v>21238.799999999999</c:v>
                </c:pt>
                <c:pt idx="603">
                  <c:v>21453.95</c:v>
                </c:pt>
                <c:pt idx="604">
                  <c:v>21352.6</c:v>
                </c:pt>
                <c:pt idx="605">
                  <c:v>21737.599999999999</c:v>
                </c:pt>
                <c:pt idx="606">
                  <c:v>21522.1</c:v>
                </c:pt>
                <c:pt idx="607">
                  <c:v>21725.7</c:v>
                </c:pt>
                <c:pt idx="608">
                  <c:v>21697.45</c:v>
                </c:pt>
                <c:pt idx="609">
                  <c:v>21853.8</c:v>
                </c:pt>
                <c:pt idx="610">
                  <c:v>21771.7</c:v>
                </c:pt>
                <c:pt idx="611">
                  <c:v>21929.4</c:v>
                </c:pt>
                <c:pt idx="612">
                  <c:v>21930.5</c:v>
                </c:pt>
                <c:pt idx="613">
                  <c:v>21717.95</c:v>
                </c:pt>
                <c:pt idx="614">
                  <c:v>21782.5</c:v>
                </c:pt>
                <c:pt idx="615">
                  <c:v>21616.05</c:v>
                </c:pt>
                <c:pt idx="616">
                  <c:v>21743.25</c:v>
                </c:pt>
                <c:pt idx="617">
                  <c:v>21840.05</c:v>
                </c:pt>
                <c:pt idx="618">
                  <c:v>21910.75</c:v>
                </c:pt>
                <c:pt idx="619">
                  <c:v>22040.7</c:v>
                </c:pt>
                <c:pt idx="620">
                  <c:v>22122.25</c:v>
                </c:pt>
                <c:pt idx="621">
                  <c:v>22196.95</c:v>
                </c:pt>
                <c:pt idx="622">
                  <c:v>22055.05</c:v>
                </c:pt>
                <c:pt idx="623">
                  <c:v>22217.45</c:v>
                </c:pt>
                <c:pt idx="624">
                  <c:v>22212.7</c:v>
                </c:pt>
                <c:pt idx="625">
                  <c:v>22122.05</c:v>
                </c:pt>
                <c:pt idx="626">
                  <c:v>22198.35</c:v>
                </c:pt>
                <c:pt idx="627">
                  <c:v>21951.15</c:v>
                </c:pt>
                <c:pt idx="628">
                  <c:v>21982.799999999999</c:v>
                </c:pt>
                <c:pt idx="629">
                  <c:v>22338.75</c:v>
                </c:pt>
                <c:pt idx="630">
                  <c:v>22378.400000000001</c:v>
                </c:pt>
                <c:pt idx="631">
                  <c:v>22405.599999999999</c:v>
                </c:pt>
                <c:pt idx="632">
                  <c:v>22356.3</c:v>
                </c:pt>
                <c:pt idx="633">
                  <c:v>22474.05</c:v>
                </c:pt>
                <c:pt idx="634">
                  <c:v>22493.55</c:v>
                </c:pt>
                <c:pt idx="635">
                  <c:v>22332.65</c:v>
                </c:pt>
                <c:pt idx="636">
                  <c:v>22335.7</c:v>
                </c:pt>
                <c:pt idx="637">
                  <c:v>21997.7</c:v>
                </c:pt>
                <c:pt idx="638">
                  <c:v>22146.65</c:v>
                </c:pt>
                <c:pt idx="639">
                  <c:v>22023.35</c:v>
                </c:pt>
                <c:pt idx="640">
                  <c:v>22055.7</c:v>
                </c:pt>
                <c:pt idx="641">
                  <c:v>21817.45</c:v>
                </c:pt>
                <c:pt idx="642">
                  <c:v>21839.1</c:v>
                </c:pt>
                <c:pt idx="643">
                  <c:v>22011.95</c:v>
                </c:pt>
                <c:pt idx="644">
                  <c:v>22096.75</c:v>
                </c:pt>
                <c:pt idx="645">
                  <c:v>22004.7</c:v>
                </c:pt>
                <c:pt idx="646">
                  <c:v>22123.65</c:v>
                </c:pt>
                <c:pt idx="647">
                  <c:v>22326.9</c:v>
                </c:pt>
                <c:pt idx="648">
                  <c:v>22462</c:v>
                </c:pt>
                <c:pt idx="649">
                  <c:v>22453.3</c:v>
                </c:pt>
                <c:pt idx="650">
                  <c:v>22434.65</c:v>
                </c:pt>
                <c:pt idx="651">
                  <c:v>22514.65</c:v>
                </c:pt>
                <c:pt idx="652">
                  <c:v>22513.7</c:v>
                </c:pt>
                <c:pt idx="653">
                  <c:v>22666.3</c:v>
                </c:pt>
                <c:pt idx="654">
                  <c:v>22642.75</c:v>
                </c:pt>
                <c:pt idx="655">
                  <c:v>22753.8</c:v>
                </c:pt>
                <c:pt idx="656">
                  <c:v>22519.4</c:v>
                </c:pt>
                <c:pt idx="657">
                  <c:v>22272.5</c:v>
                </c:pt>
                <c:pt idx="658">
                  <c:v>22147.9</c:v>
                </c:pt>
                <c:pt idx="659">
                  <c:v>21995.85</c:v>
                </c:pt>
                <c:pt idx="660">
                  <c:v>22147</c:v>
                </c:pt>
                <c:pt idx="661">
                  <c:v>22336.400000000001</c:v>
                </c:pt>
                <c:pt idx="662">
                  <c:v>22368</c:v>
                </c:pt>
                <c:pt idx="663">
                  <c:v>22402.400000000001</c:v>
                </c:pt>
                <c:pt idx="664">
                  <c:v>22570.35</c:v>
                </c:pt>
                <c:pt idx="665">
                  <c:v>22419.95</c:v>
                </c:pt>
                <c:pt idx="666">
                  <c:v>22643.4</c:v>
                </c:pt>
                <c:pt idx="667">
                  <c:v>22604.85</c:v>
                </c:pt>
                <c:pt idx="668">
                  <c:v>22648.2</c:v>
                </c:pt>
                <c:pt idx="669">
                  <c:v>22475.85</c:v>
                </c:pt>
                <c:pt idx="670">
                  <c:v>22442.7</c:v>
                </c:pt>
                <c:pt idx="671">
                  <c:v>22302.5</c:v>
                </c:pt>
                <c:pt idx="672">
                  <c:v>22302.5</c:v>
                </c:pt>
                <c:pt idx="673">
                  <c:v>21957.5</c:v>
                </c:pt>
                <c:pt idx="674">
                  <c:v>22055.200000000001</c:v>
                </c:pt>
                <c:pt idx="675">
                  <c:v>22104.05</c:v>
                </c:pt>
                <c:pt idx="676">
                  <c:v>22217.85</c:v>
                </c:pt>
                <c:pt idx="677">
                  <c:v>22200.55</c:v>
                </c:pt>
                <c:pt idx="678">
                  <c:v>22403.85</c:v>
                </c:pt>
                <c:pt idx="679">
                  <c:v>22466.1</c:v>
                </c:pt>
                <c:pt idx="680">
                  <c:v>22502</c:v>
                </c:pt>
                <c:pt idx="681">
                  <c:v>22529.05</c:v>
                </c:pt>
                <c:pt idx="682">
                  <c:v>22597.8</c:v>
                </c:pt>
                <c:pt idx="683">
                  <c:v>22967.65</c:v>
                </c:pt>
                <c:pt idx="684">
                  <c:v>22957.1</c:v>
                </c:pt>
                <c:pt idx="685">
                  <c:v>22932.45</c:v>
                </c:pt>
                <c:pt idx="686">
                  <c:v>22888.15</c:v>
                </c:pt>
                <c:pt idx="687">
                  <c:v>22704.7</c:v>
                </c:pt>
                <c:pt idx="688">
                  <c:v>22488.65</c:v>
                </c:pt>
                <c:pt idx="689">
                  <c:v>22530.7</c:v>
                </c:pt>
                <c:pt idx="690">
                  <c:v>23263.9</c:v>
                </c:pt>
                <c:pt idx="691">
                  <c:v>21884.5</c:v>
                </c:pt>
                <c:pt idx="692">
                  <c:v>22620.35</c:v>
                </c:pt>
                <c:pt idx="693">
                  <c:v>22821.4</c:v>
                </c:pt>
                <c:pt idx="694">
                  <c:v>23290.15</c:v>
                </c:pt>
                <c:pt idx="695">
                  <c:v>23259.200000000001</c:v>
                </c:pt>
                <c:pt idx="696">
                  <c:v>23264.85</c:v>
                </c:pt>
                <c:pt idx="697">
                  <c:v>23322.95</c:v>
                </c:pt>
                <c:pt idx="698">
                  <c:v>23398.9</c:v>
                </c:pt>
                <c:pt idx="699">
                  <c:v>23465.599999999999</c:v>
                </c:pt>
                <c:pt idx="700">
                  <c:v>23557.9</c:v>
                </c:pt>
                <c:pt idx="701">
                  <c:v>23516</c:v>
                </c:pt>
                <c:pt idx="702">
                  <c:v>23567</c:v>
                </c:pt>
                <c:pt idx="703">
                  <c:v>23501.1</c:v>
                </c:pt>
                <c:pt idx="704">
                  <c:v>23537.85</c:v>
                </c:pt>
                <c:pt idx="705">
                  <c:v>23721.3</c:v>
                </c:pt>
                <c:pt idx="706">
                  <c:v>23868.799999999999</c:v>
                </c:pt>
                <c:pt idx="707">
                  <c:v>24044.5</c:v>
                </c:pt>
                <c:pt idx="708">
                  <c:v>24010.6</c:v>
                </c:pt>
                <c:pt idx="709">
                  <c:v>24141.95</c:v>
                </c:pt>
                <c:pt idx="710">
                  <c:v>24123.85</c:v>
                </c:pt>
                <c:pt idx="711">
                  <c:v>24286.5</c:v>
                </c:pt>
                <c:pt idx="712">
                  <c:v>24302.15</c:v>
                </c:pt>
                <c:pt idx="713">
                  <c:v>24323.85</c:v>
                </c:pt>
                <c:pt idx="714">
                  <c:v>24320.55</c:v>
                </c:pt>
                <c:pt idx="715">
                  <c:v>24433.200000000001</c:v>
                </c:pt>
                <c:pt idx="716">
                  <c:v>24324.45</c:v>
                </c:pt>
                <c:pt idx="717">
                  <c:v>24315.95</c:v>
                </c:pt>
                <c:pt idx="718">
                  <c:v>24502.15</c:v>
                </c:pt>
                <c:pt idx="719">
                  <c:v>24586.7</c:v>
                </c:pt>
                <c:pt idx="720">
                  <c:v>24613</c:v>
                </c:pt>
                <c:pt idx="721">
                  <c:v>24800.85</c:v>
                </c:pt>
                <c:pt idx="722">
                  <c:v>24530.9</c:v>
                </c:pt>
                <c:pt idx="723">
                  <c:v>24509.25</c:v>
                </c:pt>
                <c:pt idx="724">
                  <c:v>24479.05</c:v>
                </c:pt>
                <c:pt idx="725">
                  <c:v>24413.5</c:v>
                </c:pt>
                <c:pt idx="726">
                  <c:v>24406.1</c:v>
                </c:pt>
                <c:pt idx="727">
                  <c:v>24834.85</c:v>
                </c:pt>
                <c:pt idx="728">
                  <c:v>24836.1</c:v>
                </c:pt>
                <c:pt idx="729">
                  <c:v>24857.3</c:v>
                </c:pt>
                <c:pt idx="730">
                  <c:v>24951.15</c:v>
                </c:pt>
                <c:pt idx="731">
                  <c:v>25010.9</c:v>
                </c:pt>
                <c:pt idx="732">
                  <c:v>24717.7</c:v>
                </c:pt>
                <c:pt idx="733">
                  <c:v>24055.599999999999</c:v>
                </c:pt>
                <c:pt idx="734">
                  <c:v>23992.55</c:v>
                </c:pt>
                <c:pt idx="735">
                  <c:v>24297.5</c:v>
                </c:pt>
                <c:pt idx="736">
                  <c:v>24117</c:v>
                </c:pt>
                <c:pt idx="737">
                  <c:v>24367.5</c:v>
                </c:pt>
                <c:pt idx="738">
                  <c:v>24347</c:v>
                </c:pt>
                <c:pt idx="739">
                  <c:v>24139</c:v>
                </c:pt>
                <c:pt idx="740">
                  <c:v>24143.75</c:v>
                </c:pt>
                <c:pt idx="741">
                  <c:v>24541.15</c:v>
                </c:pt>
                <c:pt idx="742">
                  <c:v>24572.65</c:v>
                </c:pt>
                <c:pt idx="743">
                  <c:v>24698.85</c:v>
                </c:pt>
                <c:pt idx="744">
                  <c:v>24770.2</c:v>
                </c:pt>
                <c:pt idx="745">
                  <c:v>24811.5</c:v>
                </c:pt>
                <c:pt idx="746">
                  <c:v>24823.15</c:v>
                </c:pt>
                <c:pt idx="747">
                  <c:v>25010.6</c:v>
                </c:pt>
                <c:pt idx="748">
                  <c:v>25017.75</c:v>
                </c:pt>
                <c:pt idx="749">
                  <c:v>25052.35</c:v>
                </c:pt>
                <c:pt idx="750">
                  <c:v>25151.95</c:v>
                </c:pt>
                <c:pt idx="751">
                  <c:v>25235.9</c:v>
                </c:pt>
                <c:pt idx="752">
                  <c:v>25278.7</c:v>
                </c:pt>
                <c:pt idx="753">
                  <c:v>25279.85</c:v>
                </c:pt>
                <c:pt idx="754">
                  <c:v>25198.7</c:v>
                </c:pt>
                <c:pt idx="755">
                  <c:v>25145.1</c:v>
                </c:pt>
                <c:pt idx="756">
                  <c:v>24852.15</c:v>
                </c:pt>
                <c:pt idx="757">
                  <c:v>24936.400000000001</c:v>
                </c:pt>
                <c:pt idx="758">
                  <c:v>25041.1</c:v>
                </c:pt>
                <c:pt idx="759">
                  <c:v>24918.45</c:v>
                </c:pt>
                <c:pt idx="760">
                  <c:v>25388.9</c:v>
                </c:pt>
                <c:pt idx="761">
                  <c:v>25356.5</c:v>
                </c:pt>
                <c:pt idx="762">
                  <c:v>25383.75</c:v>
                </c:pt>
                <c:pt idx="763">
                  <c:v>25418.55</c:v>
                </c:pt>
                <c:pt idx="764">
                  <c:v>25377.55</c:v>
                </c:pt>
                <c:pt idx="765">
                  <c:v>25415.8</c:v>
                </c:pt>
                <c:pt idx="766">
                  <c:v>25790.95</c:v>
                </c:pt>
                <c:pt idx="767">
                  <c:v>25939.05</c:v>
                </c:pt>
                <c:pt idx="768">
                  <c:v>25940.400000000001</c:v>
                </c:pt>
                <c:pt idx="769">
                  <c:v>26004.15</c:v>
                </c:pt>
                <c:pt idx="770">
                  <c:v>26216.05</c:v>
                </c:pt>
                <c:pt idx="771">
                  <c:v>26178.95</c:v>
                </c:pt>
                <c:pt idx="772">
                  <c:v>25810.85</c:v>
                </c:pt>
                <c:pt idx="773">
                  <c:v>25796.9</c:v>
                </c:pt>
                <c:pt idx="774">
                  <c:v>25250.1</c:v>
                </c:pt>
                <c:pt idx="775">
                  <c:v>25014.6</c:v>
                </c:pt>
                <c:pt idx="776">
                  <c:v>24795.75</c:v>
                </c:pt>
                <c:pt idx="777">
                  <c:v>25013.15</c:v>
                </c:pt>
                <c:pt idx="778">
                  <c:v>24981.95</c:v>
                </c:pt>
                <c:pt idx="779">
                  <c:v>24998.45</c:v>
                </c:pt>
                <c:pt idx="780">
                  <c:v>24964.25</c:v>
                </c:pt>
                <c:pt idx="781">
                  <c:v>25127.95</c:v>
                </c:pt>
                <c:pt idx="782">
                  <c:v>25057.35</c:v>
                </c:pt>
                <c:pt idx="783">
                  <c:v>24971.3</c:v>
                </c:pt>
                <c:pt idx="784">
                  <c:v>24749.85</c:v>
                </c:pt>
                <c:pt idx="785">
                  <c:v>24854.05</c:v>
                </c:pt>
                <c:pt idx="786">
                  <c:v>24781.1</c:v>
                </c:pt>
                <c:pt idx="787">
                  <c:v>24472.1</c:v>
                </c:pt>
                <c:pt idx="788">
                  <c:v>24435.5</c:v>
                </c:pt>
                <c:pt idx="789">
                  <c:v>24399.4</c:v>
                </c:pt>
                <c:pt idx="790">
                  <c:v>24180.799999999999</c:v>
                </c:pt>
                <c:pt idx="791">
                  <c:v>24339.15</c:v>
                </c:pt>
                <c:pt idx="792">
                  <c:v>24466.85</c:v>
                </c:pt>
                <c:pt idx="793">
                  <c:v>24340.85</c:v>
                </c:pt>
                <c:pt idx="794">
                  <c:v>24205.35</c:v>
                </c:pt>
                <c:pt idx="795">
                  <c:v>24304.35</c:v>
                </c:pt>
                <c:pt idx="796">
                  <c:v>23995.35</c:v>
                </c:pt>
                <c:pt idx="797">
                  <c:v>24213.3</c:v>
                </c:pt>
                <c:pt idx="798">
                  <c:v>24484.05</c:v>
                </c:pt>
                <c:pt idx="799">
                  <c:v>24199.35</c:v>
                </c:pt>
                <c:pt idx="800">
                  <c:v>24148.2</c:v>
                </c:pt>
                <c:pt idx="801">
                  <c:v>24141.3</c:v>
                </c:pt>
                <c:pt idx="802">
                  <c:v>23883.45</c:v>
                </c:pt>
                <c:pt idx="803">
                  <c:v>23559.05</c:v>
                </c:pt>
                <c:pt idx="804">
                  <c:v>23532.7</c:v>
                </c:pt>
                <c:pt idx="805">
                  <c:v>23453.8</c:v>
                </c:pt>
                <c:pt idx="806">
                  <c:v>23518.5</c:v>
                </c:pt>
                <c:pt idx="807">
                  <c:v>23349.9</c:v>
                </c:pt>
                <c:pt idx="808">
                  <c:v>23907.25</c:v>
                </c:pt>
                <c:pt idx="809">
                  <c:v>24221.9</c:v>
                </c:pt>
                <c:pt idx="810">
                  <c:v>24194.5</c:v>
                </c:pt>
                <c:pt idx="811">
                  <c:v>24274.9</c:v>
                </c:pt>
                <c:pt idx="812">
                  <c:v>23914.15</c:v>
                </c:pt>
                <c:pt idx="813">
                  <c:v>24131.1</c:v>
                </c:pt>
                <c:pt idx="814">
                  <c:v>24276.05</c:v>
                </c:pt>
                <c:pt idx="815">
                  <c:v>24457.15</c:v>
                </c:pt>
                <c:pt idx="816">
                  <c:v>24467.45</c:v>
                </c:pt>
                <c:pt idx="817">
                  <c:v>24708.400000000001</c:v>
                </c:pt>
                <c:pt idx="818">
                  <c:v>24677.8</c:v>
                </c:pt>
                <c:pt idx="819">
                  <c:v>24619</c:v>
                </c:pt>
                <c:pt idx="820">
                  <c:v>24610.05</c:v>
                </c:pt>
                <c:pt idx="821">
                  <c:v>24641.8</c:v>
                </c:pt>
                <c:pt idx="822">
                  <c:v>24548.7</c:v>
                </c:pt>
                <c:pt idx="823">
                  <c:v>24768.3</c:v>
                </c:pt>
                <c:pt idx="824">
                  <c:v>24668.25</c:v>
                </c:pt>
                <c:pt idx="825">
                  <c:v>24336</c:v>
                </c:pt>
                <c:pt idx="826">
                  <c:v>24198.85</c:v>
                </c:pt>
                <c:pt idx="827">
                  <c:v>23951.7</c:v>
                </c:pt>
                <c:pt idx="828">
                  <c:v>23587.5</c:v>
                </c:pt>
                <c:pt idx="829">
                  <c:v>23753.45</c:v>
                </c:pt>
                <c:pt idx="830">
                  <c:v>23727.65</c:v>
                </c:pt>
                <c:pt idx="831">
                  <c:v>23750.2</c:v>
                </c:pt>
                <c:pt idx="832">
                  <c:v>23813.4</c:v>
                </c:pt>
                <c:pt idx="833">
                  <c:v>23644.9</c:v>
                </c:pt>
                <c:pt idx="834">
                  <c:v>23644.799999999999</c:v>
                </c:pt>
                <c:pt idx="835">
                  <c:v>23742.9</c:v>
                </c:pt>
                <c:pt idx="836">
                  <c:v>24188.65</c:v>
                </c:pt>
                <c:pt idx="837">
                  <c:v>24004.75</c:v>
                </c:pt>
                <c:pt idx="838">
                  <c:v>23616.05</c:v>
                </c:pt>
                <c:pt idx="839">
                  <c:v>23707.9</c:v>
                </c:pt>
                <c:pt idx="840">
                  <c:v>23688.95</c:v>
                </c:pt>
                <c:pt idx="841">
                  <c:v>23526.5</c:v>
                </c:pt>
                <c:pt idx="842">
                  <c:v>23431.5</c:v>
                </c:pt>
                <c:pt idx="843">
                  <c:v>23085.95</c:v>
                </c:pt>
                <c:pt idx="844">
                  <c:v>23176.05</c:v>
                </c:pt>
                <c:pt idx="845">
                  <c:v>23213.200000000001</c:v>
                </c:pt>
                <c:pt idx="846">
                  <c:v>23311.8</c:v>
                </c:pt>
                <c:pt idx="847">
                  <c:v>23203.200000000001</c:v>
                </c:pt>
                <c:pt idx="848">
                  <c:v>23344.75</c:v>
                </c:pt>
                <c:pt idx="849">
                  <c:v>23024.65</c:v>
                </c:pt>
                <c:pt idx="850">
                  <c:v>23155.35</c:v>
                </c:pt>
                <c:pt idx="851">
                  <c:v>23205.35</c:v>
                </c:pt>
                <c:pt idx="852">
                  <c:v>23092.2</c:v>
                </c:pt>
                <c:pt idx="853">
                  <c:v>22829.15</c:v>
                </c:pt>
                <c:pt idx="854">
                  <c:v>22957.25</c:v>
                </c:pt>
                <c:pt idx="855">
                  <c:v>23163.1</c:v>
                </c:pt>
                <c:pt idx="856">
                  <c:v>23249.5</c:v>
                </c:pt>
                <c:pt idx="857">
                  <c:v>23508.400000000001</c:v>
                </c:pt>
                <c:pt idx="858">
                  <c:v>23482.15</c:v>
                </c:pt>
                <c:pt idx="859">
                  <c:v>23361.05</c:v>
                </c:pt>
                <c:pt idx="860">
                  <c:v>23739.25</c:v>
                </c:pt>
                <c:pt idx="861">
                  <c:v>23696.3</c:v>
                </c:pt>
                <c:pt idx="862">
                  <c:v>23603.35</c:v>
                </c:pt>
                <c:pt idx="863">
                  <c:v>23559.95</c:v>
                </c:pt>
                <c:pt idx="864">
                  <c:v>23381.599999999999</c:v>
                </c:pt>
                <c:pt idx="865">
                  <c:v>23071.8</c:v>
                </c:pt>
                <c:pt idx="866">
                  <c:v>23045.25</c:v>
                </c:pt>
                <c:pt idx="867">
                  <c:v>23031.4</c:v>
                </c:pt>
                <c:pt idx="868">
                  <c:v>22929.25</c:v>
                </c:pt>
                <c:pt idx="869">
                  <c:v>22959.5</c:v>
                </c:pt>
                <c:pt idx="870">
                  <c:v>22945.3</c:v>
                </c:pt>
                <c:pt idx="871">
                  <c:v>22932.9</c:v>
                </c:pt>
                <c:pt idx="872">
                  <c:v>22913.15</c:v>
                </c:pt>
                <c:pt idx="873">
                  <c:v>22795.9</c:v>
                </c:pt>
                <c:pt idx="874">
                  <c:v>22553.35</c:v>
                </c:pt>
                <c:pt idx="875">
                  <c:v>22547.55</c:v>
                </c:pt>
                <c:pt idx="876">
                  <c:v>22545.05</c:v>
                </c:pt>
                <c:pt idx="877">
                  <c:v>22124.7</c:v>
                </c:pt>
                <c:pt idx="878">
                  <c:v>22119.3</c:v>
                </c:pt>
                <c:pt idx="879">
                  <c:v>22082.65</c:v>
                </c:pt>
                <c:pt idx="880">
                  <c:v>22337.3</c:v>
                </c:pt>
                <c:pt idx="881">
                  <c:v>22544.7</c:v>
                </c:pt>
                <c:pt idx="882">
                  <c:v>22552.5</c:v>
                </c:pt>
                <c:pt idx="883">
                  <c:v>22460.3</c:v>
                </c:pt>
                <c:pt idx="884">
                  <c:v>22497.9</c:v>
                </c:pt>
                <c:pt idx="885">
                  <c:v>22470.5</c:v>
                </c:pt>
                <c:pt idx="886">
                  <c:v>22397.200000000001</c:v>
                </c:pt>
                <c:pt idx="887">
                  <c:v>22508.75</c:v>
                </c:pt>
                <c:pt idx="888">
                  <c:v>22834.3</c:v>
                </c:pt>
                <c:pt idx="889">
                  <c:v>22907.599999999999</c:v>
                </c:pt>
                <c:pt idx="890">
                  <c:v>23190.65</c:v>
                </c:pt>
                <c:pt idx="891">
                  <c:v>23350.400000000001</c:v>
                </c:pt>
                <c:pt idx="892">
                  <c:v>23658.35</c:v>
                </c:pt>
                <c:pt idx="893">
                  <c:v>23668.65</c:v>
                </c:pt>
                <c:pt idx="894">
                  <c:v>23486.85</c:v>
                </c:pt>
                <c:pt idx="895">
                  <c:v>23591.95</c:v>
                </c:pt>
                <c:pt idx="896">
                  <c:v>23519.35</c:v>
                </c:pt>
                <c:pt idx="897">
                  <c:v>23165.7</c:v>
                </c:pt>
                <c:pt idx="898">
                  <c:v>23332.35</c:v>
                </c:pt>
                <c:pt idx="899">
                  <c:v>23250.1</c:v>
                </c:pt>
                <c:pt idx="900">
                  <c:v>22904.45</c:v>
                </c:pt>
                <c:pt idx="901">
                  <c:v>22161.599999999999</c:v>
                </c:pt>
                <c:pt idx="902">
                  <c:v>22535.85</c:v>
                </c:pt>
                <c:pt idx="903">
                  <c:v>22399.15</c:v>
                </c:pt>
                <c:pt idx="904">
                  <c:v>22828.55</c:v>
                </c:pt>
                <c:pt idx="905">
                  <c:v>23328.55</c:v>
                </c:pt>
                <c:pt idx="906">
                  <c:v>23437.200000000001</c:v>
                </c:pt>
                <c:pt idx="907">
                  <c:v>23851.65</c:v>
                </c:pt>
                <c:pt idx="908">
                  <c:v>24125.55</c:v>
                </c:pt>
                <c:pt idx="909">
                  <c:v>24167.25</c:v>
                </c:pt>
                <c:pt idx="910">
                  <c:v>24328.95</c:v>
                </c:pt>
                <c:pt idx="911">
                  <c:v>24246.7</c:v>
                </c:pt>
                <c:pt idx="912">
                  <c:v>24039.35</c:v>
                </c:pt>
                <c:pt idx="913">
                  <c:v>24328.5</c:v>
                </c:pt>
                <c:pt idx="914">
                  <c:v>24335.95</c:v>
                </c:pt>
                <c:pt idx="915">
                  <c:v>24334.2</c:v>
                </c:pt>
                <c:pt idx="916">
                  <c:v>24346.7</c:v>
                </c:pt>
                <c:pt idx="917">
                  <c:v>24461.15</c:v>
                </c:pt>
                <c:pt idx="918">
                  <c:v>24379.599999999999</c:v>
                </c:pt>
                <c:pt idx="919">
                  <c:v>24414.400000000001</c:v>
                </c:pt>
                <c:pt idx="920">
                  <c:v>24273.8</c:v>
                </c:pt>
                <c:pt idx="921">
                  <c:v>24008</c:v>
                </c:pt>
                <c:pt idx="922">
                  <c:v>24924.7</c:v>
                </c:pt>
                <c:pt idx="923">
                  <c:v>24578.35</c:v>
                </c:pt>
                <c:pt idx="924">
                  <c:v>24666.9</c:v>
                </c:pt>
                <c:pt idx="925">
                  <c:v>25062.1</c:v>
                </c:pt>
                <c:pt idx="926">
                  <c:v>25019.8</c:v>
                </c:pt>
                <c:pt idx="927">
                  <c:v>24945.45</c:v>
                </c:pt>
                <c:pt idx="928">
                  <c:v>24683.9</c:v>
                </c:pt>
                <c:pt idx="929">
                  <c:v>24813.45</c:v>
                </c:pt>
                <c:pt idx="930">
                  <c:v>24609.7</c:v>
                </c:pt>
                <c:pt idx="931">
                  <c:v>24853.15</c:v>
                </c:pt>
                <c:pt idx="932">
                  <c:v>25001.15</c:v>
                </c:pt>
                <c:pt idx="933">
                  <c:v>24826.2</c:v>
                </c:pt>
                <c:pt idx="934">
                  <c:v>24752.45</c:v>
                </c:pt>
                <c:pt idx="935">
                  <c:v>24833.599999999999</c:v>
                </c:pt>
                <c:pt idx="936">
                  <c:v>24750.7</c:v>
                </c:pt>
                <c:pt idx="937">
                  <c:v>24716.6</c:v>
                </c:pt>
                <c:pt idx="938">
                  <c:v>24542.5</c:v>
                </c:pt>
                <c:pt idx="939">
                  <c:v>24620.2</c:v>
                </c:pt>
                <c:pt idx="940">
                  <c:v>24750.9</c:v>
                </c:pt>
                <c:pt idx="941">
                  <c:v>25003.05</c:v>
                </c:pt>
                <c:pt idx="942">
                  <c:v>25103.200000000001</c:v>
                </c:pt>
                <c:pt idx="943">
                  <c:v>25104.25</c:v>
                </c:pt>
                <c:pt idx="944">
                  <c:v>25141.4</c:v>
                </c:pt>
                <c:pt idx="945">
                  <c:v>24888.2</c:v>
                </c:pt>
                <c:pt idx="946">
                  <c:v>24718.6</c:v>
                </c:pt>
                <c:pt idx="947">
                  <c:v>24946.5</c:v>
                </c:pt>
                <c:pt idx="948">
                  <c:v>24853.4</c:v>
                </c:pt>
                <c:pt idx="949">
                  <c:v>24812.05</c:v>
                </c:pt>
                <c:pt idx="950">
                  <c:v>24793.25</c:v>
                </c:pt>
                <c:pt idx="951">
                  <c:v>25112.400000000001</c:v>
                </c:pt>
                <c:pt idx="952">
                  <c:v>24971.9</c:v>
                </c:pt>
                <c:pt idx="953">
                  <c:v>25044.35</c:v>
                </c:pt>
                <c:pt idx="954">
                  <c:v>25244.75</c:v>
                </c:pt>
                <c:pt idx="955">
                  <c:v>25549</c:v>
                </c:pt>
                <c:pt idx="956">
                  <c:v>25637.8</c:v>
                </c:pt>
                <c:pt idx="957">
                  <c:v>25517.05</c:v>
                </c:pt>
                <c:pt idx="958">
                  <c:v>25541.8</c:v>
                </c:pt>
                <c:pt idx="959">
                  <c:v>25453.4</c:v>
                </c:pt>
                <c:pt idx="960">
                  <c:v>25405.3</c:v>
                </c:pt>
                <c:pt idx="961">
                  <c:v>25461</c:v>
                </c:pt>
                <c:pt idx="962">
                  <c:v>25461.3</c:v>
                </c:pt>
                <c:pt idx="963">
                  <c:v>25522.5</c:v>
                </c:pt>
                <c:pt idx="964">
                  <c:v>25476.1</c:v>
                </c:pt>
                <c:pt idx="965">
                  <c:v>25355.25</c:v>
                </c:pt>
                <c:pt idx="966">
                  <c:v>25149.85</c:v>
                </c:pt>
                <c:pt idx="967">
                  <c:v>25082.3</c:v>
                </c:pt>
                <c:pt idx="968">
                  <c:v>25195.8</c:v>
                </c:pt>
                <c:pt idx="969">
                  <c:v>25212.05</c:v>
                </c:pt>
                <c:pt idx="970">
                  <c:v>25111.45</c:v>
                </c:pt>
                <c:pt idx="971">
                  <c:v>24968.400000000001</c:v>
                </c:pt>
                <c:pt idx="972">
                  <c:v>25090.7</c:v>
                </c:pt>
                <c:pt idx="973">
                  <c:v>25060.9</c:v>
                </c:pt>
                <c:pt idx="974">
                  <c:v>25219.9</c:v>
                </c:pt>
                <c:pt idx="975">
                  <c:v>25062.1</c:v>
                </c:pt>
                <c:pt idx="976">
                  <c:v>24837</c:v>
                </c:pt>
                <c:pt idx="977">
                  <c:v>24680.9</c:v>
                </c:pt>
                <c:pt idx="978">
                  <c:v>24821.1</c:v>
                </c:pt>
                <c:pt idx="979">
                  <c:v>24855.05</c:v>
                </c:pt>
                <c:pt idx="980">
                  <c:v>24768.35</c:v>
                </c:pt>
                <c:pt idx="981">
                  <c:v>24565.35</c:v>
                </c:pt>
                <c:pt idx="982">
                  <c:v>24722.75</c:v>
                </c:pt>
                <c:pt idx="983">
                  <c:v>24649.55</c:v>
                </c:pt>
                <c:pt idx="984">
                  <c:v>24574.2</c:v>
                </c:pt>
                <c:pt idx="985">
                  <c:v>24596.15</c:v>
                </c:pt>
                <c:pt idx="986">
                  <c:v>24363.3</c:v>
                </c:pt>
                <c:pt idx="987">
                  <c:v>24585.05</c:v>
                </c:pt>
                <c:pt idx="988">
                  <c:v>24487.4</c:v>
                </c:pt>
                <c:pt idx="989">
                  <c:v>24619.35</c:v>
                </c:pt>
                <c:pt idx="990">
                  <c:v>24631.3</c:v>
                </c:pt>
                <c:pt idx="991">
                  <c:v>24876.95</c:v>
                </c:pt>
                <c:pt idx="992">
                  <c:v>24980.65</c:v>
                </c:pt>
                <c:pt idx="993">
                  <c:v>25050.55</c:v>
                </c:pt>
                <c:pt idx="994">
                  <c:v>25083.75</c:v>
                </c:pt>
                <c:pt idx="995">
                  <c:v>24870.1</c:v>
                </c:pt>
                <c:pt idx="996">
                  <c:v>24967.75</c:v>
                </c:pt>
                <c:pt idx="997">
                  <c:v>24712.05</c:v>
                </c:pt>
                <c:pt idx="998">
                  <c:v>24500.9</c:v>
                </c:pt>
                <c:pt idx="999">
                  <c:v>24426.85</c:v>
                </c:pt>
                <c:pt idx="1000">
                  <c:v>24625.05</c:v>
                </c:pt>
                <c:pt idx="1001">
                  <c:v>24579.599999999999</c:v>
                </c:pt>
                <c:pt idx="1002">
                  <c:v>24715.05</c:v>
                </c:pt>
                <c:pt idx="1003">
                  <c:v>24734.3</c:v>
                </c:pt>
                <c:pt idx="1004">
                  <c:v>24741</c:v>
                </c:pt>
                <c:pt idx="1005">
                  <c:v>24773.15</c:v>
                </c:pt>
                <c:pt idx="1006">
                  <c:v>24868.6</c:v>
                </c:pt>
                <c:pt idx="1007">
                  <c:v>24973.1</c:v>
                </c:pt>
                <c:pt idx="1008">
                  <c:v>25005.5</c:v>
                </c:pt>
                <c:pt idx="1009">
                  <c:v>25114</c:v>
                </c:pt>
                <c:pt idx="1010">
                  <c:v>25069.200000000001</c:v>
                </c:pt>
                <c:pt idx="1011">
                  <c:v>25239.1</c:v>
                </c:pt>
                <c:pt idx="1012">
                  <c:v>25330.25</c:v>
                </c:pt>
                <c:pt idx="1013">
                  <c:v>25423.599999999999</c:v>
                </c:pt>
                <c:pt idx="1014">
                  <c:v>25327.05</c:v>
                </c:pt>
                <c:pt idx="1015">
                  <c:v>25202.35</c:v>
                </c:pt>
                <c:pt idx="1016">
                  <c:v>25169.5</c:v>
                </c:pt>
                <c:pt idx="1017">
                  <c:v>25056.9</c:v>
                </c:pt>
                <c:pt idx="1018">
                  <c:v>24890.85</c:v>
                </c:pt>
                <c:pt idx="1019">
                  <c:v>24654.7</c:v>
                </c:pt>
                <c:pt idx="1020">
                  <c:v>24634.9</c:v>
                </c:pt>
                <c:pt idx="1021">
                  <c:v>24611.1</c:v>
                </c:pt>
                <c:pt idx="1022">
                  <c:v>24836.3</c:v>
                </c:pt>
                <c:pt idx="1023">
                  <c:v>24894.25</c:v>
                </c:pt>
                <c:pt idx="1024">
                  <c:v>25077.65</c:v>
                </c:pt>
                <c:pt idx="1025">
                  <c:v>25108.3</c:v>
                </c:pt>
                <c:pt idx="1026">
                  <c:v>25046.15</c:v>
                </c:pt>
                <c:pt idx="1027">
                  <c:v>25181.8</c:v>
                </c:pt>
                <c:pt idx="1028">
                  <c:v>25285.35</c:v>
                </c:pt>
                <c:pt idx="1029">
                  <c:v>25227.35</c:v>
                </c:pt>
                <c:pt idx="1030">
                  <c:v>25145.5</c:v>
                </c:pt>
                <c:pt idx="1031">
                  <c:v>25323.55</c:v>
                </c:pt>
                <c:pt idx="1032">
                  <c:v>25585.3</c:v>
                </c:pt>
                <c:pt idx="1033">
                  <c:v>25709.85</c:v>
                </c:pt>
                <c:pt idx="1034">
                  <c:v>25843.15</c:v>
                </c:pt>
                <c:pt idx="1035">
                  <c:v>25868.6</c:v>
                </c:pt>
                <c:pt idx="1036">
                  <c:v>25891.4</c:v>
                </c:pt>
                <c:pt idx="1037">
                  <c:v>25795.15</c:v>
                </c:pt>
                <c:pt idx="1038">
                  <c:v>25966.05</c:v>
                </c:pt>
                <c:pt idx="1039">
                  <c:v>25936.2</c:v>
                </c:pt>
                <c:pt idx="1040">
                  <c:v>26053.9</c:v>
                </c:pt>
                <c:pt idx="1041">
                  <c:v>25877.85</c:v>
                </c:pt>
                <c:pt idx="1042">
                  <c:v>25722.1</c:v>
                </c:pt>
                <c:pt idx="1043">
                  <c:v>25763.35</c:v>
                </c:pt>
                <c:pt idx="1044">
                  <c:v>25597.65</c:v>
                </c:pt>
                <c:pt idx="1045">
                  <c:v>25509.7</c:v>
                </c:pt>
                <c:pt idx="1046">
                  <c:v>25492.3</c:v>
                </c:pt>
                <c:pt idx="1047">
                  <c:v>25574.35</c:v>
                </c:pt>
                <c:pt idx="1048">
                  <c:v>25694.95</c:v>
                </c:pt>
                <c:pt idx="1049">
                  <c:v>25875.8</c:v>
                </c:pt>
                <c:pt idx="1050">
                  <c:v>25879.15</c:v>
                </c:pt>
                <c:pt idx="1051">
                  <c:v>25910.05</c:v>
                </c:pt>
                <c:pt idx="1052">
                  <c:v>26013.45</c:v>
                </c:pt>
                <c:pt idx="1053">
                  <c:v>25910.05</c:v>
                </c:pt>
                <c:pt idx="1054">
                  <c:v>26052.65</c:v>
                </c:pt>
                <c:pt idx="1055">
                  <c:v>26192.15</c:v>
                </c:pt>
                <c:pt idx="1056">
                  <c:v>26068.15</c:v>
                </c:pt>
                <c:pt idx="1057">
                  <c:v>25959.5</c:v>
                </c:pt>
                <c:pt idx="1058">
                  <c:v>25884.799999999999</c:v>
                </c:pt>
                <c:pt idx="1059">
                  <c:v>26205.3</c:v>
                </c:pt>
                <c:pt idx="1060">
                  <c:v>26215.55</c:v>
                </c:pt>
                <c:pt idx="1061">
                  <c:v>26202.95</c:v>
                </c:pt>
                <c:pt idx="1062">
                  <c:v>26175.75</c:v>
                </c:pt>
                <c:pt idx="1063">
                  <c:v>26032.2</c:v>
                </c:pt>
                <c:pt idx="1064">
                  <c:v>25986</c:v>
                </c:pt>
                <c:pt idx="1065">
                  <c:v>26033.75</c:v>
                </c:pt>
                <c:pt idx="1066">
                  <c:v>26186.45</c:v>
                </c:pt>
                <c:pt idx="1067">
                  <c:v>25960.55</c:v>
                </c:pt>
                <c:pt idx="1068">
                  <c:v>25839.65</c:v>
                </c:pt>
                <c:pt idx="1069">
                  <c:v>25758</c:v>
                </c:pt>
                <c:pt idx="1070">
                  <c:v>25898.55</c:v>
                </c:pt>
                <c:pt idx="1071">
                  <c:v>26046.95</c:v>
                </c:pt>
                <c:pt idx="1072">
                  <c:v>26027.3</c:v>
                </c:pt>
                <c:pt idx="1073">
                  <c:v>25860.1</c:v>
                </c:pt>
                <c:pt idx="1074">
                  <c:v>25818.55</c:v>
                </c:pt>
                <c:pt idx="1075">
                  <c:v>25815.55</c:v>
                </c:pt>
                <c:pt idx="1076">
                  <c:v>25966.400000000001</c:v>
                </c:pt>
                <c:pt idx="1077">
                  <c:v>26172.400000000001</c:v>
                </c:pt>
                <c:pt idx="1078">
                  <c:v>26177.15</c:v>
                </c:pt>
                <c:pt idx="1079">
                  <c:v>26142.1</c:v>
                </c:pt>
                <c:pt idx="1080">
                  <c:v>26042.3</c:v>
                </c:pt>
                <c:pt idx="1081">
                  <c:v>25942.1</c:v>
                </c:pt>
                <c:pt idx="1082">
                  <c:v>25938.85</c:v>
                </c:pt>
                <c:pt idx="1083">
                  <c:v>26129.599999999999</c:v>
                </c:pt>
                <c:pt idx="1084">
                  <c:v>26146.55</c:v>
                </c:pt>
                <c:pt idx="1085">
                  <c:v>26328.55</c:v>
                </c:pt>
                <c:pt idx="1086">
                  <c:v>26250.3</c:v>
                </c:pt>
                <c:pt idx="1087">
                  <c:v>26178.7</c:v>
                </c:pt>
                <c:pt idx="1088">
                  <c:v>26140.75</c:v>
                </c:pt>
                <c:pt idx="1089">
                  <c:v>25876.85</c:v>
                </c:pt>
                <c:pt idx="1090">
                  <c:v>25683.3</c:v>
                </c:pt>
                <c:pt idx="1091">
                  <c:v>25790.25</c:v>
                </c:pt>
                <c:pt idx="1092">
                  <c:v>25732.3</c:v>
                </c:pt>
                <c:pt idx="1093">
                  <c:v>25665.599999999999</c:v>
                </c:pt>
                <c:pt idx="1094">
                  <c:v>25694.35</c:v>
                </c:pt>
                <c:pt idx="1095">
                  <c:v>25585.5</c:v>
                </c:pt>
                <c:pt idx="1096">
                  <c:v>25232.5</c:v>
                </c:pt>
                <c:pt idx="1097">
                  <c:v>25157.5</c:v>
                </c:pt>
                <c:pt idx="1098">
                  <c:v>25289.9</c:v>
                </c:pt>
                <c:pt idx="1099">
                  <c:v>25048.65</c:v>
                </c:pt>
                <c:pt idx="1100">
                  <c:v>25175.4</c:v>
                </c:pt>
                <c:pt idx="1101">
                  <c:v>25342.75</c:v>
                </c:pt>
                <c:pt idx="1102">
                  <c:v>25418.9</c:v>
                </c:pt>
                <c:pt idx="1103">
                  <c:v>25320.65</c:v>
                </c:pt>
                <c:pt idx="1104">
                  <c:v>24825.45</c:v>
                </c:pt>
                <c:pt idx="1105">
                  <c:v>25088.400000000001</c:v>
                </c:pt>
                <c:pt idx="1106">
                  <c:v>25727.55</c:v>
                </c:pt>
                <c:pt idx="1107">
                  <c:v>25776</c:v>
                </c:pt>
                <c:pt idx="1108">
                  <c:v>25642.799999999999</c:v>
                </c:pt>
                <c:pt idx="1109">
                  <c:v>25693.7</c:v>
                </c:pt>
                <c:pt idx="1110">
                  <c:v>25867.3</c:v>
                </c:pt>
                <c:pt idx="1111">
                  <c:v>25935.15</c:v>
                </c:pt>
                <c:pt idx="1112">
                  <c:v>25953.85</c:v>
                </c:pt>
                <c:pt idx="1113">
                  <c:v>25807.200000000001</c:v>
                </c:pt>
                <c:pt idx="1114">
                  <c:v>25471.1</c:v>
                </c:pt>
                <c:pt idx="1115">
                  <c:v>25682.75</c:v>
                </c:pt>
                <c:pt idx="1116">
                  <c:v>25725.4</c:v>
                </c:pt>
                <c:pt idx="1117">
                  <c:v>25819.35</c:v>
                </c:pt>
                <c:pt idx="1118">
                  <c:v>25454.35</c:v>
                </c:pt>
                <c:pt idx="1119">
                  <c:v>25571.25</c:v>
                </c:pt>
                <c:pt idx="1120">
                  <c:v>25713</c:v>
                </c:pt>
                <c:pt idx="1121">
                  <c:v>25424.65</c:v>
                </c:pt>
                <c:pt idx="1122">
                  <c:v>25482.5</c:v>
                </c:pt>
                <c:pt idx="1123">
                  <c:v>25496.55</c:v>
                </c:pt>
                <c:pt idx="1124">
                  <c:v>25178.65</c:v>
                </c:pt>
                <c:pt idx="1125">
                  <c:v>24865.7</c:v>
                </c:pt>
                <c:pt idx="1126">
                  <c:v>24480.5</c:v>
                </c:pt>
                <c:pt idx="1127">
                  <c:v>24765.9</c:v>
                </c:pt>
                <c:pt idx="1128">
                  <c:v>24450.45</c:v>
                </c:pt>
                <c:pt idx="1129">
                  <c:v>24028.05</c:v>
                </c:pt>
                <c:pt idx="1130">
                  <c:v>24261.599999999999</c:v>
                </c:pt>
                <c:pt idx="1131">
                  <c:v>23866.85</c:v>
                </c:pt>
                <c:pt idx="1132">
                  <c:v>23639.15</c:v>
                </c:pt>
                <c:pt idx="1133">
                  <c:v>23151.1</c:v>
                </c:pt>
                <c:pt idx="1134">
                  <c:v>23408.799999999999</c:v>
                </c:pt>
                <c:pt idx="1135">
                  <c:v>23581.15</c:v>
                </c:pt>
                <c:pt idx="1136">
                  <c:v>23777.8</c:v>
                </c:pt>
                <c:pt idx="1137">
                  <c:v>23002.15</c:v>
                </c:pt>
                <c:pt idx="1138">
                  <c:v>23114.5</c:v>
                </c:pt>
                <c:pt idx="1139">
                  <c:v>22512.65</c:v>
                </c:pt>
                <c:pt idx="1140">
                  <c:v>22912.400000000001</c:v>
                </c:pt>
                <c:pt idx="1141">
                  <c:v>23306.45</c:v>
                </c:pt>
                <c:pt idx="1142">
                  <c:v>22819.599999999999</c:v>
                </c:pt>
                <c:pt idx="1143">
                  <c:v>22331.4</c:v>
                </c:pt>
                <c:pt idx="1144">
                  <c:v>22679.4</c:v>
                </c:pt>
                <c:pt idx="1145">
                  <c:v>22713.1</c:v>
                </c:pt>
                <c:pt idx="1146">
                  <c:v>22968.25</c:v>
                </c:pt>
                <c:pt idx="1147">
                  <c:v>23123.65</c:v>
                </c:pt>
                <c:pt idx="1148">
                  <c:v>23997.35</c:v>
                </c:pt>
                <c:pt idx="1149">
                  <c:v>23775.1</c:v>
                </c:pt>
                <c:pt idx="1150">
                  <c:v>24050.6</c:v>
                </c:pt>
                <c:pt idx="1151">
                  <c:v>23842.65</c:v>
                </c:pt>
                <c:pt idx="1152">
                  <c:v>24231.3</c:v>
                </c:pt>
                <c:pt idx="1153">
                  <c:v>24196.75</c:v>
                </c:pt>
                <c:pt idx="1154">
                  <c:v>24353.55</c:v>
                </c:pt>
                <c:pt idx="1155">
                  <c:v>24364.85</c:v>
                </c:pt>
                <c:pt idx="1156">
                  <c:v>24576.6</c:v>
                </c:pt>
                <c:pt idx="1157">
                  <c:v>24378.1</c:v>
                </c:pt>
                <c:pt idx="1158">
                  <c:v>24173.05</c:v>
                </c:pt>
                <c:pt idx="1159">
                  <c:v>23897.95</c:v>
                </c:pt>
                <c:pt idx="1160">
                  <c:v>24092.7</c:v>
                </c:pt>
                <c:pt idx="1161">
                  <c:v>23995.7</c:v>
                </c:pt>
                <c:pt idx="1162">
                  <c:v>24177.65</c:v>
                </c:pt>
                <c:pt idx="1163">
                  <c:v>23997.55</c:v>
                </c:pt>
                <c:pt idx="1164">
                  <c:v>24119.3</c:v>
                </c:pt>
                <c:pt idx="1165">
                  <c:v>24032.799999999999</c:v>
                </c:pt>
                <c:pt idx="1166">
                  <c:v>24330.95</c:v>
                </c:pt>
                <c:pt idx="1167">
                  <c:v>24326.65</c:v>
                </c:pt>
                <c:pt idx="1168">
                  <c:v>24176.15</c:v>
                </c:pt>
                <c:pt idx="1169">
                  <c:v>23815.85</c:v>
                </c:pt>
                <c:pt idx="1170">
                  <c:v>23379.55</c:v>
                </c:pt>
                <c:pt idx="1171">
                  <c:v>23412.6</c:v>
                </c:pt>
                <c:pt idx="1172">
                  <c:v>23689.599999999999</c:v>
                </c:pt>
                <c:pt idx="1173">
                  <c:v>23643.5</c:v>
                </c:pt>
                <c:pt idx="1174">
                  <c:v>23649.95</c:v>
                </c:pt>
                <c:pt idx="1175">
                  <c:v>23618</c:v>
                </c:pt>
                <c:pt idx="1176">
                  <c:v>23659</c:v>
                </c:pt>
                <c:pt idx="1177">
                  <c:v>23654.7</c:v>
                </c:pt>
                <c:pt idx="1178">
                  <c:v>23719.3</c:v>
                </c:pt>
                <c:pt idx="1179">
                  <c:v>24031.7</c:v>
                </c:pt>
                <c:pt idx="1180">
                  <c:v>23913.7</c:v>
                </c:pt>
                <c:pt idx="1181">
                  <c:v>23907.15</c:v>
                </c:pt>
                <c:pt idx="1182">
                  <c:v>23547.75</c:v>
                </c:pt>
                <c:pt idx="1183">
                  <c:v>23382.6</c:v>
                </c:pt>
                <c:pt idx="1184">
                  <c:v>23483.55</c:v>
                </c:pt>
                <c:pt idx="1185">
                  <c:v>23405.599999999999</c:v>
                </c:pt>
                <c:pt idx="1186">
                  <c:v>23416.55</c:v>
                </c:pt>
                <c:pt idx="1187">
                  <c:v>23366.7</c:v>
                </c:pt>
                <c:pt idx="1188">
                  <c:v>23123</c:v>
                </c:pt>
                <c:pt idx="1189">
                  <c:v>23242.1</c:v>
                </c:pt>
                <c:pt idx="1190">
                  <c:v>23214.95</c:v>
                </c:pt>
                <c:pt idx="1191">
                  <c:v>23161.599999999999</c:v>
                </c:pt>
                <c:pt idx="1192">
                  <c:v>23622.9</c:v>
                </c:pt>
                <c:pt idx="1193">
                  <c:v>23853.9</c:v>
                </c:pt>
                <c:pt idx="1194">
                  <c:v>23989.15</c:v>
                </c:pt>
                <c:pt idx="1195">
                  <c:v>24085.7</c:v>
                </c:pt>
                <c:pt idx="1196">
                  <c:v>24168</c:v>
                </c:pt>
                <c:pt idx="1197">
                  <c:v>24013.1</c:v>
                </c:pt>
                <c:pt idx="1198">
                  <c:v>24102.9</c:v>
                </c:pt>
                <c:pt idx="1199">
                  <c:v>23824.1</c:v>
                </c:pt>
                <c:pt idx="1200">
                  <c:v>24021.65</c:v>
                </c:pt>
                <c:pt idx="1201">
                  <c:v>24056</c:v>
                </c:pt>
                <c:pt idx="1202">
                  <c:v>23946.25</c:v>
                </c:pt>
                <c:pt idx="1203">
                  <c:v>23865.75</c:v>
                </c:pt>
                <c:pt idx="1204">
                  <c:v>24005.85</c:v>
                </c:pt>
                <c:pt idx="1205">
                  <c:v>24175.7</c:v>
                </c:pt>
                <c:pt idx="1206">
                  <c:v>24270.85</c:v>
                </c:pt>
                <c:pt idx="1207">
                  <c:v>24430.35</c:v>
                </c:pt>
                <c:pt idx="1208">
                  <c:v>24398.7</c:v>
                </c:pt>
                <c:pt idx="1209">
                  <c:v>23882.05</c:v>
                </c:pt>
                <c:pt idx="1210">
                  <c:v>23962.799999999999</c:v>
                </c:pt>
                <c:pt idx="1211">
                  <c:v>24206.9</c:v>
                </c:pt>
                <c:pt idx="1212">
                  <c:v>24211</c:v>
                </c:pt>
                <c:pt idx="1213">
                  <c:v>24052.05</c:v>
                </c:pt>
                <c:pt idx="1214">
                  <c:v>24078.5</c:v>
                </c:pt>
                <c:pt idx="1215">
                  <c:v>24072.75</c:v>
                </c:pt>
                <c:pt idx="1216">
                  <c:v>24334.3</c:v>
                </c:pt>
                <c:pt idx="1217">
                  <c:v>24238.5</c:v>
                </c:pt>
                <c:pt idx="1218">
                  <c:v>24187.7</c:v>
                </c:pt>
                <c:pt idx="1219">
                  <c:v>23996.25</c:v>
                </c:pt>
                <c:pt idx="1220">
                  <c:v>23869.599999999999</c:v>
                </c:pt>
                <c:pt idx="1221">
                  <c:v>23767.45</c:v>
                </c:pt>
                <c:pt idx="1222">
                  <c:v>23995.95</c:v>
                </c:pt>
                <c:pt idx="1223">
                  <c:v>23985.35</c:v>
                </c:pt>
                <c:pt idx="1224">
                  <c:v>24250.2</c:v>
                </c:pt>
                <c:pt idx="1225">
                  <c:v>24317.15</c:v>
                </c:pt>
                <c:pt idx="1226">
                  <c:v>24383.599999999999</c:v>
                </c:pt>
                <c:pt idx="1227">
                  <c:v>24774.3</c:v>
                </c:pt>
                <c:pt idx="1228">
                  <c:v>24614.9</c:v>
                </c:pt>
                <c:pt idx="1229">
                  <c:v>24624.65</c:v>
                </c:pt>
                <c:pt idx="1230">
                  <c:v>24636</c:v>
                </c:pt>
                <c:pt idx="1231">
                  <c:v>24570.65</c:v>
                </c:pt>
                <c:pt idx="1232">
                  <c:v>24583.8</c:v>
                </c:pt>
                <c:pt idx="1233">
                  <c:v>24471.7</c:v>
                </c:pt>
                <c:pt idx="1234">
                  <c:v>24435.95</c:v>
                </c:pt>
                <c:pt idx="1235">
                  <c:v>24395.85</c:v>
                </c:pt>
                <c:pt idx="1236">
                  <c:v>24366</c:v>
                </c:pt>
                <c:pt idx="1237">
                  <c:v>24287.65</c:v>
                </c:pt>
                <c:pt idx="1238">
                  <c:v>24154.9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F-436F-A8BC-7E13C37B1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7459999"/>
        <c:axId val="1579767375"/>
      </c:lineChart>
      <c:dateAx>
        <c:axId val="145745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-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67375"/>
        <c:crosses val="autoZero"/>
        <c:auto val="1"/>
        <c:lblOffset val="100"/>
        <c:baseTimeUnit val="days"/>
      </c:dateAx>
      <c:valAx>
        <c:axId val="1579767375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-#,##0.00;#,##0.00;&quot;--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5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Log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'NIFTY - Simple Naive Forecastin'!$D$3:$D$1240</c:f>
              <c:numCache>
                <c:formatCode>0.000%</c:formatCode>
                <c:ptCount val="1238"/>
                <c:pt idx="0">
                  <c:v>2.7893343567396453E-3</c:v>
                </c:pt>
                <c:pt idx="1">
                  <c:v>7.7383198591159386E-3</c:v>
                </c:pt>
                <c:pt idx="2">
                  <c:v>6.0434317105073718E-4</c:v>
                </c:pt>
                <c:pt idx="3">
                  <c:v>1.3525068735473022E-4</c:v>
                </c:pt>
                <c:pt idx="4">
                  <c:v>4.0969282398875722E-3</c:v>
                </c:pt>
                <c:pt idx="5">
                  <c:v>1.3429166104186735E-2</c:v>
                </c:pt>
                <c:pt idx="6">
                  <c:v>1.1810519440649946E-2</c:v>
                </c:pt>
                <c:pt idx="7">
                  <c:v>-3.2711245256615783E-3</c:v>
                </c:pt>
                <c:pt idx="8">
                  <c:v>9.2042712853325718E-3</c:v>
                </c:pt>
                <c:pt idx="9">
                  <c:v>5.1768532251176254E-3</c:v>
                </c:pt>
                <c:pt idx="10">
                  <c:v>3.1237958165422752E-3</c:v>
                </c:pt>
                <c:pt idx="11">
                  <c:v>-9.0385988841995806E-4</c:v>
                </c:pt>
                <c:pt idx="12">
                  <c:v>-4.9545450321603589E-4</c:v>
                </c:pt>
                <c:pt idx="13">
                  <c:v>9.0718627298651939E-4</c:v>
                </c:pt>
                <c:pt idx="14">
                  <c:v>-8.0346617885402119E-4</c:v>
                </c:pt>
                <c:pt idx="15">
                  <c:v>1.4221845881971984E-3</c:v>
                </c:pt>
                <c:pt idx="16">
                  <c:v>7.9915724841745379E-3</c:v>
                </c:pt>
                <c:pt idx="17">
                  <c:v>6.2619429374609938E-3</c:v>
                </c:pt>
                <c:pt idx="18">
                  <c:v>-2.5188393721590984E-3</c:v>
                </c:pt>
                <c:pt idx="19">
                  <c:v>-1.0762766458321043E-2</c:v>
                </c:pt>
                <c:pt idx="20">
                  <c:v>9.4454475094025107E-3</c:v>
                </c:pt>
                <c:pt idx="21">
                  <c:v>-8.744284373270665E-4</c:v>
                </c:pt>
                <c:pt idx="22">
                  <c:v>1.5623904173446654E-2</c:v>
                </c:pt>
                <c:pt idx="23">
                  <c:v>1.6958111931557232E-3</c:v>
                </c:pt>
                <c:pt idx="24">
                  <c:v>1.0641783572961581E-4</c:v>
                </c:pt>
                <c:pt idx="25">
                  <c:v>-5.982542131478065E-3</c:v>
                </c:pt>
                <c:pt idx="26">
                  <c:v>-2.1037856145795374E-3</c:v>
                </c:pt>
                <c:pt idx="27">
                  <c:v>-5.2732332856385341E-3</c:v>
                </c:pt>
                <c:pt idx="28">
                  <c:v>-4.8989861907132821E-3</c:v>
                </c:pt>
                <c:pt idx="29">
                  <c:v>9.0395325855123446E-3</c:v>
                </c:pt>
                <c:pt idx="30">
                  <c:v>7.3803151105359625E-3</c:v>
                </c:pt>
                <c:pt idx="31">
                  <c:v>-9.9413533765346368E-3</c:v>
                </c:pt>
                <c:pt idx="32">
                  <c:v>8.1470466584434558E-3</c:v>
                </c:pt>
                <c:pt idx="33">
                  <c:v>5.8763450034090793E-3</c:v>
                </c:pt>
                <c:pt idx="34">
                  <c:v>2.831942274032983E-3</c:v>
                </c:pt>
                <c:pt idx="35">
                  <c:v>2.5599729044600752E-3</c:v>
                </c:pt>
                <c:pt idx="36">
                  <c:v>9.3932985287852669E-3</c:v>
                </c:pt>
                <c:pt idx="37">
                  <c:v>9.6876673744827318E-3</c:v>
                </c:pt>
                <c:pt idx="38">
                  <c:v>7.5240198928300944E-3</c:v>
                </c:pt>
                <c:pt idx="39">
                  <c:v>-3.1602539324889403E-3</c:v>
                </c:pt>
                <c:pt idx="40">
                  <c:v>-8.2949118597041606E-3</c:v>
                </c:pt>
                <c:pt idx="41">
                  <c:v>-4.8566828074737599E-3</c:v>
                </c:pt>
                <c:pt idx="42">
                  <c:v>-3.4827687919410082E-3</c:v>
                </c:pt>
                <c:pt idx="43">
                  <c:v>5.7946541799084499E-4</c:v>
                </c:pt>
                <c:pt idx="44">
                  <c:v>7.858521832249608E-3</c:v>
                </c:pt>
                <c:pt idx="45">
                  <c:v>-3.1497297783985938E-3</c:v>
                </c:pt>
                <c:pt idx="46">
                  <c:v>-1.961347328760292E-2</c:v>
                </c:pt>
                <c:pt idx="47">
                  <c:v>-1.0447927649083697E-2</c:v>
                </c:pt>
                <c:pt idx="48">
                  <c:v>1.4494106489669145E-2</c:v>
                </c:pt>
                <c:pt idx="49">
                  <c:v>-2.2725632780962878E-3</c:v>
                </c:pt>
                <c:pt idx="50">
                  <c:v>-3.3456411226991806E-3</c:v>
                </c:pt>
                <c:pt idx="51">
                  <c:v>4.9012575036592558E-3</c:v>
                </c:pt>
                <c:pt idx="52">
                  <c:v>8.4340377145086798E-3</c:v>
                </c:pt>
                <c:pt idx="53">
                  <c:v>-1.3457834157164536E-3</c:v>
                </c:pt>
                <c:pt idx="54">
                  <c:v>-1.5002172720921161E-3</c:v>
                </c:pt>
                <c:pt idx="55">
                  <c:v>-8.0020933646903214E-3</c:v>
                </c:pt>
                <c:pt idx="56">
                  <c:v>1.2739096598234837E-2</c:v>
                </c:pt>
                <c:pt idx="57">
                  <c:v>3.700410401166087E-4</c:v>
                </c:pt>
                <c:pt idx="58">
                  <c:v>-6.1065890087613648E-3</c:v>
                </c:pt>
                <c:pt idx="59">
                  <c:v>-5.6020214558960254E-3</c:v>
                </c:pt>
                <c:pt idx="60">
                  <c:v>-7.5063196902765391E-3</c:v>
                </c:pt>
                <c:pt idx="61">
                  <c:v>-1.9798067728082253E-2</c:v>
                </c:pt>
                <c:pt idx="62">
                  <c:v>4.9713875910040546E-3</c:v>
                </c:pt>
                <c:pt idx="63">
                  <c:v>-5.0575162788005449E-3</c:v>
                </c:pt>
                <c:pt idx="64">
                  <c:v>6.9353921488597555E-3</c:v>
                </c:pt>
                <c:pt idx="65">
                  <c:v>-2.9502149772621358E-2</c:v>
                </c:pt>
                <c:pt idx="66">
                  <c:v>1.6138311738437181E-3</c:v>
                </c:pt>
                <c:pt idx="67">
                  <c:v>-4.1572283164124264E-3</c:v>
                </c:pt>
                <c:pt idx="68">
                  <c:v>1.0758491006561958E-2</c:v>
                </c:pt>
                <c:pt idx="69">
                  <c:v>1.358191816862196E-2</c:v>
                </c:pt>
                <c:pt idx="70">
                  <c:v>-1.1847524364121427E-2</c:v>
                </c:pt>
                <c:pt idx="71">
                  <c:v>-1.6679293525066932E-2</c:v>
                </c:pt>
                <c:pt idx="72">
                  <c:v>1.5515602865605863E-2</c:v>
                </c:pt>
                <c:pt idx="73">
                  <c:v>1.6916999510179991E-2</c:v>
                </c:pt>
                <c:pt idx="74">
                  <c:v>2.6924610252884998E-3</c:v>
                </c:pt>
                <c:pt idx="75">
                  <c:v>-3.1688799131232727E-4</c:v>
                </c:pt>
                <c:pt idx="76">
                  <c:v>-8.2025600706723129E-3</c:v>
                </c:pt>
                <c:pt idx="77">
                  <c:v>-2.4990537072034653E-3</c:v>
                </c:pt>
                <c:pt idx="78">
                  <c:v>-5.9919765456759484E-3</c:v>
                </c:pt>
                <c:pt idx="79">
                  <c:v>1.5665890444361708E-3</c:v>
                </c:pt>
                <c:pt idx="80">
                  <c:v>-1.5377008913403054E-2</c:v>
                </c:pt>
                <c:pt idx="81">
                  <c:v>-2.208462525426377E-2</c:v>
                </c:pt>
                <c:pt idx="82">
                  <c:v>9.3845089143681712E-3</c:v>
                </c:pt>
                <c:pt idx="83">
                  <c:v>1.0947055769810723E-2</c:v>
                </c:pt>
                <c:pt idx="84">
                  <c:v>6.885523140111989E-3</c:v>
                </c:pt>
                <c:pt idx="85">
                  <c:v>-4.0409312434183352E-3</c:v>
                </c:pt>
                <c:pt idx="86">
                  <c:v>4.8401385192229909E-3</c:v>
                </c:pt>
                <c:pt idx="87">
                  <c:v>8.5666107599145849E-3</c:v>
                </c:pt>
                <c:pt idx="88">
                  <c:v>-1.1408881875360657E-3</c:v>
                </c:pt>
                <c:pt idx="89">
                  <c:v>-5.6076044069777991E-4</c:v>
                </c:pt>
                <c:pt idx="90">
                  <c:v>8.686899930872365E-3</c:v>
                </c:pt>
                <c:pt idx="91">
                  <c:v>1.5532155674438485E-2</c:v>
                </c:pt>
                <c:pt idx="92">
                  <c:v>1.0135293409169081E-2</c:v>
                </c:pt>
                <c:pt idx="93">
                  <c:v>6.7169757589339947E-3</c:v>
                </c:pt>
                <c:pt idx="94">
                  <c:v>-1.0055830065243644E-2</c:v>
                </c:pt>
                <c:pt idx="95">
                  <c:v>3.7571827114337929E-3</c:v>
                </c:pt>
                <c:pt idx="96">
                  <c:v>1.064338838998579E-2</c:v>
                </c:pt>
                <c:pt idx="97">
                  <c:v>2.9091191803581893E-3</c:v>
                </c:pt>
                <c:pt idx="98">
                  <c:v>8.6357417794735106E-3</c:v>
                </c:pt>
                <c:pt idx="99">
                  <c:v>2.4924505947533245E-3</c:v>
                </c:pt>
                <c:pt idx="100">
                  <c:v>-1.1228708258463262E-4</c:v>
                </c:pt>
                <c:pt idx="101">
                  <c:v>2.8634859715560308E-3</c:v>
                </c:pt>
                <c:pt idx="102">
                  <c:v>-1.0710911914286183E-2</c:v>
                </c:pt>
                <c:pt idx="103">
                  <c:v>-9.6890064780822838E-3</c:v>
                </c:pt>
                <c:pt idx="104">
                  <c:v>-1.0163862100486327E-2</c:v>
                </c:pt>
                <c:pt idx="105">
                  <c:v>-7.9069449649056857E-3</c:v>
                </c:pt>
                <c:pt idx="106">
                  <c:v>-2.6927165310979384E-2</c:v>
                </c:pt>
                <c:pt idx="107">
                  <c:v>7.4854279782373646E-3</c:v>
                </c:pt>
                <c:pt idx="108">
                  <c:v>-9.7592674103367961E-3</c:v>
                </c:pt>
                <c:pt idx="109">
                  <c:v>-4.7936257388604811E-4</c:v>
                </c:pt>
                <c:pt idx="110">
                  <c:v>1.3814828701121379E-2</c:v>
                </c:pt>
                <c:pt idx="111">
                  <c:v>1.3575374518897244E-2</c:v>
                </c:pt>
                <c:pt idx="112">
                  <c:v>1.1491534770912802E-2</c:v>
                </c:pt>
                <c:pt idx="113">
                  <c:v>-1.2439252422007897E-2</c:v>
                </c:pt>
                <c:pt idx="114">
                  <c:v>-2.5031016732770949E-3</c:v>
                </c:pt>
                <c:pt idx="115">
                  <c:v>-1.7432106933369305E-2</c:v>
                </c:pt>
                <c:pt idx="116">
                  <c:v>3.0829177834033228E-3</c:v>
                </c:pt>
                <c:pt idx="117">
                  <c:v>1.1347480211462859E-2</c:v>
                </c:pt>
                <c:pt idx="118">
                  <c:v>8.1010661276622389E-3</c:v>
                </c:pt>
                <c:pt idx="119">
                  <c:v>-1.3213230321500876E-2</c:v>
                </c:pt>
                <c:pt idx="120">
                  <c:v>-3.1094737081558063E-2</c:v>
                </c:pt>
                <c:pt idx="121">
                  <c:v>2.9810441021687707E-2</c:v>
                </c:pt>
                <c:pt idx="122">
                  <c:v>-1.7447909452098886E-3</c:v>
                </c:pt>
                <c:pt idx="123">
                  <c:v>-1.0165537396252585E-3</c:v>
                </c:pt>
                <c:pt idx="124">
                  <c:v>-1.6367420349265715E-3</c:v>
                </c:pt>
                <c:pt idx="125">
                  <c:v>-4.0396830734258891E-3</c:v>
                </c:pt>
                <c:pt idx="126">
                  <c:v>-6.6737179109929989E-3</c:v>
                </c:pt>
                <c:pt idx="127">
                  <c:v>-1.6951910709848976E-3</c:v>
                </c:pt>
                <c:pt idx="128">
                  <c:v>-4.8960281051569063E-2</c:v>
                </c:pt>
                <c:pt idx="129">
                  <c:v>2.4947846739819746E-2</c:v>
                </c:pt>
                <c:pt idx="130">
                  <c:v>8.101131524734604E-3</c:v>
                </c:pt>
                <c:pt idx="131">
                  <c:v>-1.1254660360669237E-2</c:v>
                </c:pt>
                <c:pt idx="132">
                  <c:v>-6.5188727710802086E-3</c:v>
                </c:pt>
                <c:pt idx="133">
                  <c:v>-1.5435478124563093E-2</c:v>
                </c:pt>
                <c:pt idx="134">
                  <c:v>-2.3807904631442889E-2</c:v>
                </c:pt>
                <c:pt idx="135">
                  <c:v>9.4301847641446827E-3</c:v>
                </c:pt>
                <c:pt idx="136">
                  <c:v>2.0514459110673795E-2</c:v>
                </c:pt>
                <c:pt idx="137">
                  <c:v>1.5151966019218735E-2</c:v>
                </c:pt>
                <c:pt idx="138">
                  <c:v>2.1399331273389121E-3</c:v>
                </c:pt>
                <c:pt idx="139">
                  <c:v>1.4378601088806696E-2</c:v>
                </c:pt>
                <c:pt idx="140">
                  <c:v>-1.2423260902022252E-2</c:v>
                </c:pt>
                <c:pt idx="141">
                  <c:v>1.8571599232414908E-2</c:v>
                </c:pt>
                <c:pt idx="142">
                  <c:v>1.8195374494415762E-2</c:v>
                </c:pt>
                <c:pt idx="143">
                  <c:v>-9.850492312713139E-3</c:v>
                </c:pt>
                <c:pt idx="144">
                  <c:v>1.1494880163363386E-2</c:v>
                </c:pt>
                <c:pt idx="145">
                  <c:v>-4.0421163708296457E-3</c:v>
                </c:pt>
                <c:pt idx="146">
                  <c:v>-1.3287534883735959E-3</c:v>
                </c:pt>
                <c:pt idx="147">
                  <c:v>-4.0580988470762082E-3</c:v>
                </c:pt>
                <c:pt idx="148">
                  <c:v>4.0145508462854406E-3</c:v>
                </c:pt>
                <c:pt idx="149">
                  <c:v>5.9802246693889541E-3</c:v>
                </c:pt>
                <c:pt idx="150">
                  <c:v>9.9330149857725092E-3</c:v>
                </c:pt>
                <c:pt idx="151">
                  <c:v>-1.916312115762529E-3</c:v>
                </c:pt>
                <c:pt idx="152">
                  <c:v>1.1709189086995933E-2</c:v>
                </c:pt>
                <c:pt idx="153">
                  <c:v>2.144027979090949E-2</c:v>
                </c:pt>
                <c:pt idx="154">
                  <c:v>-5.3317464438475612E-3</c:v>
                </c:pt>
                <c:pt idx="155">
                  <c:v>-8.3741459954355391E-3</c:v>
                </c:pt>
                <c:pt idx="156">
                  <c:v>-9.4846002028219235E-3</c:v>
                </c:pt>
                <c:pt idx="157">
                  <c:v>8.1753170308477494E-3</c:v>
                </c:pt>
                <c:pt idx="158">
                  <c:v>-6.1704741556992595E-3</c:v>
                </c:pt>
                <c:pt idx="159">
                  <c:v>-8.217570617932296E-3</c:v>
                </c:pt>
                <c:pt idx="160">
                  <c:v>-3.1223288839913239E-3</c:v>
                </c:pt>
                <c:pt idx="161">
                  <c:v>-1.7432251023419793E-2</c:v>
                </c:pt>
                <c:pt idx="162">
                  <c:v>-1.2598204259997624E-2</c:v>
                </c:pt>
                <c:pt idx="163">
                  <c:v>1.0435581223143465E-2</c:v>
                </c:pt>
                <c:pt idx="164">
                  <c:v>1.4831219041721086E-2</c:v>
                </c:pt>
                <c:pt idx="165">
                  <c:v>-1.2767589762518079E-2</c:v>
                </c:pt>
                <c:pt idx="166">
                  <c:v>-1.2776393616003143E-2</c:v>
                </c:pt>
                <c:pt idx="167">
                  <c:v>1.4455049340358107E-2</c:v>
                </c:pt>
                <c:pt idx="168">
                  <c:v>-9.4862740866997596E-3</c:v>
                </c:pt>
                <c:pt idx="169">
                  <c:v>1.2055525496746364E-2</c:v>
                </c:pt>
                <c:pt idx="170">
                  <c:v>-8.297570577797668E-3</c:v>
                </c:pt>
                <c:pt idx="171">
                  <c:v>-1.957763858873641E-3</c:v>
                </c:pt>
                <c:pt idx="172">
                  <c:v>-2.3203309652967317E-2</c:v>
                </c:pt>
                <c:pt idx="173">
                  <c:v>3.0275552722641301E-4</c:v>
                </c:pt>
                <c:pt idx="174">
                  <c:v>-1.6402181947133422E-2</c:v>
                </c:pt>
                <c:pt idx="175">
                  <c:v>-6.688476961240644E-3</c:v>
                </c:pt>
                <c:pt idx="176">
                  <c:v>-3.798184758416227E-3</c:v>
                </c:pt>
                <c:pt idx="177">
                  <c:v>-4.5021005067112096E-3</c:v>
                </c:pt>
                <c:pt idx="178">
                  <c:v>-2.2462172034303025E-2</c:v>
                </c:pt>
                <c:pt idx="179">
                  <c:v>-1.6365864530401846E-3</c:v>
                </c:pt>
                <c:pt idx="180">
                  <c:v>3.8040233132169052E-3</c:v>
                </c:pt>
                <c:pt idx="181">
                  <c:v>2.5981474896775072E-2</c:v>
                </c:pt>
                <c:pt idx="182">
                  <c:v>-1.1692452931500745E-3</c:v>
                </c:pt>
                <c:pt idx="183">
                  <c:v>-2.689110763221448E-2</c:v>
                </c:pt>
                <c:pt idx="184">
                  <c:v>2.8481561554378136E-2</c:v>
                </c:pt>
                <c:pt idx="185">
                  <c:v>-3.168023190952943E-3</c:v>
                </c:pt>
                <c:pt idx="186">
                  <c:v>-5.5380732363732666E-3</c:v>
                </c:pt>
                <c:pt idx="187">
                  <c:v>-6.1802414065991011E-3</c:v>
                </c:pt>
                <c:pt idx="188">
                  <c:v>8.9670264262852635E-3</c:v>
                </c:pt>
                <c:pt idx="189">
                  <c:v>1.1210783228271726E-2</c:v>
                </c:pt>
                <c:pt idx="190">
                  <c:v>1.8716933609406666E-2</c:v>
                </c:pt>
                <c:pt idx="191">
                  <c:v>-4.6231277420674408E-3</c:v>
                </c:pt>
                <c:pt idx="192">
                  <c:v>-3.7333199493177205E-3</c:v>
                </c:pt>
                <c:pt idx="193">
                  <c:v>6.3498022602603054E-3</c:v>
                </c:pt>
                <c:pt idx="194">
                  <c:v>-2.6315566954934781E-3</c:v>
                </c:pt>
                <c:pt idx="195">
                  <c:v>-8.8979113877667301E-4</c:v>
                </c:pt>
                <c:pt idx="196">
                  <c:v>-9.2888841322758733E-3</c:v>
                </c:pt>
                <c:pt idx="197">
                  <c:v>-3.6677021275259834E-3</c:v>
                </c:pt>
                <c:pt idx="198">
                  <c:v>7.4221392763222718E-3</c:v>
                </c:pt>
                <c:pt idx="199">
                  <c:v>-1.6909879395574055E-2</c:v>
                </c:pt>
                <c:pt idx="200">
                  <c:v>-2.6733974338427311E-2</c:v>
                </c:pt>
                <c:pt idx="201">
                  <c:v>-2.6851618183916293E-3</c:v>
                </c:pt>
                <c:pt idx="202">
                  <c:v>-2.5426237076681558E-3</c:v>
                </c:pt>
                <c:pt idx="203">
                  <c:v>-2.135479785597345E-2</c:v>
                </c:pt>
                <c:pt idx="204">
                  <c:v>-4.3778879281600415E-3</c:v>
                </c:pt>
                <c:pt idx="205">
                  <c:v>3.6973444439847482E-3</c:v>
                </c:pt>
                <c:pt idx="206">
                  <c:v>1.86297598584063E-2</c:v>
                </c:pt>
                <c:pt idx="207">
                  <c:v>-1.4524232766921568E-2</c:v>
                </c:pt>
                <c:pt idx="208">
                  <c:v>9.2574268770784281E-3</c:v>
                </c:pt>
                <c:pt idx="209">
                  <c:v>9.1247405715748336E-3</c:v>
                </c:pt>
                <c:pt idx="210">
                  <c:v>8.4234259433956932E-3</c:v>
                </c:pt>
                <c:pt idx="211">
                  <c:v>1.1457520842448876E-3</c:v>
                </c:pt>
                <c:pt idx="212">
                  <c:v>-3.2291421550026864E-3</c:v>
                </c:pt>
                <c:pt idx="213">
                  <c:v>-1.1938182539383846E-3</c:v>
                </c:pt>
                <c:pt idx="214">
                  <c:v>-1.7886425993802585E-3</c:v>
                </c:pt>
                <c:pt idx="215">
                  <c:v>5.2742671509817375E-3</c:v>
                </c:pt>
                <c:pt idx="216">
                  <c:v>-1.5483694658309363E-3</c:v>
                </c:pt>
                <c:pt idx="217">
                  <c:v>1.1254605733214696E-2</c:v>
                </c:pt>
                <c:pt idx="218">
                  <c:v>8.9096462393676076E-3</c:v>
                </c:pt>
                <c:pt idx="219">
                  <c:v>5.4213741821626388E-3</c:v>
                </c:pt>
                <c:pt idx="220">
                  <c:v>-2.8363022208483917E-4</c:v>
                </c:pt>
                <c:pt idx="221">
                  <c:v>-9.7725592849715257E-3</c:v>
                </c:pt>
                <c:pt idx="222">
                  <c:v>-5.7236779578485313E-3</c:v>
                </c:pt>
                <c:pt idx="223">
                  <c:v>-1.7551947286701716E-3</c:v>
                </c:pt>
                <c:pt idx="224">
                  <c:v>6.9120269187908055E-3</c:v>
                </c:pt>
                <c:pt idx="225">
                  <c:v>1.4186214640328329E-2</c:v>
                </c:pt>
                <c:pt idx="226">
                  <c:v>3.8045298587748868E-3</c:v>
                </c:pt>
                <c:pt idx="227">
                  <c:v>1.0973470957583456E-2</c:v>
                </c:pt>
                <c:pt idx="228">
                  <c:v>5.0956908678000479E-3</c:v>
                </c:pt>
                <c:pt idx="229">
                  <c:v>6.8538019571832377E-3</c:v>
                </c:pt>
                <c:pt idx="230">
                  <c:v>-5.3042886906669159E-3</c:v>
                </c:pt>
                <c:pt idx="231">
                  <c:v>-8.8873099859093849E-3</c:v>
                </c:pt>
                <c:pt idx="232">
                  <c:v>9.5364889176067225E-3</c:v>
                </c:pt>
                <c:pt idx="233">
                  <c:v>1.7145966548059971E-2</c:v>
                </c:pt>
                <c:pt idx="234">
                  <c:v>1.341553833962306E-2</c:v>
                </c:pt>
                <c:pt idx="235">
                  <c:v>1.0539747347198897E-2</c:v>
                </c:pt>
                <c:pt idx="236">
                  <c:v>3.1136930669172061E-4</c:v>
                </c:pt>
                <c:pt idx="237">
                  <c:v>2.4587155671240059E-3</c:v>
                </c:pt>
                <c:pt idx="238">
                  <c:v>-3.5375171312953282E-4</c:v>
                </c:pt>
                <c:pt idx="239">
                  <c:v>8.9132972159968534E-4</c:v>
                </c:pt>
                <c:pt idx="240">
                  <c:v>7.3076213015998703E-3</c:v>
                </c:pt>
                <c:pt idx="241">
                  <c:v>5.5048725215279116E-4</c:v>
                </c:pt>
                <c:pt idx="242">
                  <c:v>7.0609421403666373E-3</c:v>
                </c:pt>
                <c:pt idx="243">
                  <c:v>2.2145459122128799E-3</c:v>
                </c:pt>
                <c:pt idx="244">
                  <c:v>7.1558771042484594E-3</c:v>
                </c:pt>
                <c:pt idx="245">
                  <c:v>6.6537379070216564E-3</c:v>
                </c:pt>
                <c:pt idx="246">
                  <c:v>6.8243702292707423E-4</c:v>
                </c:pt>
                <c:pt idx="247">
                  <c:v>-1.1090707396812729E-2</c:v>
                </c:pt>
                <c:pt idx="248">
                  <c:v>-1.519214788075593E-2</c:v>
                </c:pt>
                <c:pt idx="249">
                  <c:v>4.9503639913507161E-3</c:v>
                </c:pt>
                <c:pt idx="250">
                  <c:v>1.5604374095596946E-3</c:v>
                </c:pt>
                <c:pt idx="251">
                  <c:v>-4.6971965865721787E-3</c:v>
                </c:pt>
                <c:pt idx="252">
                  <c:v>2.0780279616681788E-3</c:v>
                </c:pt>
                <c:pt idx="253">
                  <c:v>-1.4109055502046193E-2</c:v>
                </c:pt>
                <c:pt idx="254">
                  <c:v>2.5457433999052224E-2</c:v>
                </c:pt>
                <c:pt idx="255">
                  <c:v>-1.226571304940768E-2</c:v>
                </c:pt>
                <c:pt idx="256">
                  <c:v>-1.9097976955190739E-4</c:v>
                </c:pt>
                <c:pt idx="257">
                  <c:v>7.1779375230424077E-3</c:v>
                </c:pt>
                <c:pt idx="258">
                  <c:v>-5.7755356715944719E-4</c:v>
                </c:pt>
                <c:pt idx="259">
                  <c:v>-1.7687079440843621E-3</c:v>
                </c:pt>
                <c:pt idx="260">
                  <c:v>9.8439245473871447E-3</c:v>
                </c:pt>
                <c:pt idx="261">
                  <c:v>1.9420696997862557E-3</c:v>
                </c:pt>
                <c:pt idx="262">
                  <c:v>5.7590801534984177E-3</c:v>
                </c:pt>
                <c:pt idx="263">
                  <c:v>7.4264916511124004E-3</c:v>
                </c:pt>
                <c:pt idx="264">
                  <c:v>-3.6758020863416896E-3</c:v>
                </c:pt>
                <c:pt idx="265">
                  <c:v>-7.0427242296225243E-3</c:v>
                </c:pt>
                <c:pt idx="266">
                  <c:v>-1.9575159238115449E-2</c:v>
                </c:pt>
                <c:pt idx="267">
                  <c:v>5.2001220924611218E-3</c:v>
                </c:pt>
                <c:pt idx="268">
                  <c:v>1.0948654031257964E-2</c:v>
                </c:pt>
                <c:pt idx="269">
                  <c:v>-5.5101364698046914E-3</c:v>
                </c:pt>
                <c:pt idx="270">
                  <c:v>-5.0101736713567694E-3</c:v>
                </c:pt>
                <c:pt idx="271">
                  <c:v>-1.7304474032895981E-2</c:v>
                </c:pt>
                <c:pt idx="272">
                  <c:v>-1.8114469805080784E-2</c:v>
                </c:pt>
                <c:pt idx="273">
                  <c:v>-5.2316474710229822E-4</c:v>
                </c:pt>
                <c:pt idx="274">
                  <c:v>-8.7876311083257466E-3</c:v>
                </c:pt>
                <c:pt idx="275">
                  <c:v>-2.4052249492814721E-3</c:v>
                </c:pt>
                <c:pt idx="276">
                  <c:v>1.6292312151434972E-2</c:v>
                </c:pt>
                <c:pt idx="277">
                  <c:v>-1.2183178617222033E-2</c:v>
                </c:pt>
                <c:pt idx="278">
                  <c:v>2.2655026911186513E-2</c:v>
                </c:pt>
                <c:pt idx="279">
                  <c:v>3.3231166132481811E-3</c:v>
                </c:pt>
                <c:pt idx="280">
                  <c:v>-9.900004993715066E-4</c:v>
                </c:pt>
                <c:pt idx="281">
                  <c:v>-4.2626957688177139E-3</c:v>
                </c:pt>
                <c:pt idx="282">
                  <c:v>-1.504503966897207E-2</c:v>
                </c:pt>
                <c:pt idx="283">
                  <c:v>8.21240045686677E-3</c:v>
                </c:pt>
                <c:pt idx="284">
                  <c:v>-6.4005233452741625E-3</c:v>
                </c:pt>
                <c:pt idx="285">
                  <c:v>1.0020537033444438E-2</c:v>
                </c:pt>
                <c:pt idx="286">
                  <c:v>7.3107072473373395E-3</c:v>
                </c:pt>
                <c:pt idx="287">
                  <c:v>1.0066538543434379E-2</c:v>
                </c:pt>
                <c:pt idx="288">
                  <c:v>1.4457475831908754E-3</c:v>
                </c:pt>
                <c:pt idx="289">
                  <c:v>2.9478699197255992E-3</c:v>
                </c:pt>
                <c:pt idx="290">
                  <c:v>7.0289770325899842E-4</c:v>
                </c:pt>
                <c:pt idx="291">
                  <c:v>8.7490167091534895E-3</c:v>
                </c:pt>
                <c:pt idx="292">
                  <c:v>-4.2049283283901789E-3</c:v>
                </c:pt>
                <c:pt idx="293">
                  <c:v>4.5545422059832148E-3</c:v>
                </c:pt>
                <c:pt idx="294">
                  <c:v>2.8065749095631263E-3</c:v>
                </c:pt>
                <c:pt idx="295">
                  <c:v>1.2592696923282446E-2</c:v>
                </c:pt>
                <c:pt idx="296">
                  <c:v>7.3677789761327165E-3</c:v>
                </c:pt>
                <c:pt idx="297">
                  <c:v>-3.4531097777932285E-3</c:v>
                </c:pt>
                <c:pt idx="298">
                  <c:v>-1.6687172048770696E-3</c:v>
                </c:pt>
                <c:pt idx="299">
                  <c:v>3.5637453962944995E-3</c:v>
                </c:pt>
                <c:pt idx="300">
                  <c:v>4.7164249274147217E-3</c:v>
                </c:pt>
                <c:pt idx="301">
                  <c:v>-2.5192671149599894E-3</c:v>
                </c:pt>
                <c:pt idx="302">
                  <c:v>-7.1189626676594429E-3</c:v>
                </c:pt>
                <c:pt idx="303">
                  <c:v>1.7676026972224347E-2</c:v>
                </c:pt>
                <c:pt idx="304">
                  <c:v>-1.1205368843472386E-3</c:v>
                </c:pt>
                <c:pt idx="305">
                  <c:v>4.0427414446846995E-3</c:v>
                </c:pt>
                <c:pt idx="306">
                  <c:v>3.3955350399116779E-4</c:v>
                </c:pt>
                <c:pt idx="307">
                  <c:v>-3.5778894904250048E-3</c:v>
                </c:pt>
                <c:pt idx="308">
                  <c:v>-1.9780888841003656E-3</c:v>
                </c:pt>
                <c:pt idx="309">
                  <c:v>-8.100385417505962E-3</c:v>
                </c:pt>
                <c:pt idx="310">
                  <c:v>4.6286014321959227E-3</c:v>
                </c:pt>
                <c:pt idx="311">
                  <c:v>1.2626177849523763E-3</c:v>
                </c:pt>
                <c:pt idx="312">
                  <c:v>1.1801063995242344E-2</c:v>
                </c:pt>
                <c:pt idx="313">
                  <c:v>1.548780813877488E-3</c:v>
                </c:pt>
                <c:pt idx="314">
                  <c:v>2.6972005940332764E-3</c:v>
                </c:pt>
                <c:pt idx="315">
                  <c:v>2.9746557780997683E-3</c:v>
                </c:pt>
                <c:pt idx="316">
                  <c:v>7.5074463545009001E-3</c:v>
                </c:pt>
                <c:pt idx="317">
                  <c:v>2.8825558908002974E-3</c:v>
                </c:pt>
                <c:pt idx="318">
                  <c:v>-6.2065965491442813E-3</c:v>
                </c:pt>
                <c:pt idx="319">
                  <c:v>2.6472605687367874E-4</c:v>
                </c:pt>
                <c:pt idx="320">
                  <c:v>-3.1223414523407593E-3</c:v>
                </c:pt>
                <c:pt idx="321">
                  <c:v>-4.4216639141222676E-3</c:v>
                </c:pt>
                <c:pt idx="322">
                  <c:v>2.6284759354648821E-3</c:v>
                </c:pt>
                <c:pt idx="323">
                  <c:v>-6.0772111756395393E-3</c:v>
                </c:pt>
                <c:pt idx="324">
                  <c:v>2.9734752494251067E-5</c:v>
                </c:pt>
                <c:pt idx="325">
                  <c:v>5.9749296136281512E-3</c:v>
                </c:pt>
                <c:pt idx="326">
                  <c:v>2.8066766840707338E-3</c:v>
                </c:pt>
                <c:pt idx="327">
                  <c:v>-1.3238152933783446E-2</c:v>
                </c:pt>
                <c:pt idx="328">
                  <c:v>-7.9544851721632479E-3</c:v>
                </c:pt>
                <c:pt idx="329">
                  <c:v>8.2558261417479597E-3</c:v>
                </c:pt>
                <c:pt idx="330">
                  <c:v>-1.9100282258184755E-3</c:v>
                </c:pt>
                <c:pt idx="331">
                  <c:v>-1.0179289959781981E-2</c:v>
                </c:pt>
                <c:pt idx="332">
                  <c:v>-3.950294801933504E-3</c:v>
                </c:pt>
                <c:pt idx="333">
                  <c:v>-1.7841440690702759E-2</c:v>
                </c:pt>
                <c:pt idx="334">
                  <c:v>1.1602133416483444E-2</c:v>
                </c:pt>
                <c:pt idx="335">
                  <c:v>6.5123380415187272E-3</c:v>
                </c:pt>
                <c:pt idx="336">
                  <c:v>-5.4061808305026044E-4</c:v>
                </c:pt>
                <c:pt idx="337">
                  <c:v>3.7727060871833766E-3</c:v>
                </c:pt>
                <c:pt idx="338">
                  <c:v>-4.7222531914706822E-3</c:v>
                </c:pt>
                <c:pt idx="339">
                  <c:v>5.0767612877239332E-3</c:v>
                </c:pt>
                <c:pt idx="340">
                  <c:v>1.9269838518420508E-3</c:v>
                </c:pt>
                <c:pt idx="341">
                  <c:v>-1.0453431463642316E-2</c:v>
                </c:pt>
                <c:pt idx="342">
                  <c:v>-2.8194751035864399E-3</c:v>
                </c:pt>
                <c:pt idx="343">
                  <c:v>-7.4027717595589147E-3</c:v>
                </c:pt>
                <c:pt idx="344">
                  <c:v>1.3445454515296811E-2</c:v>
                </c:pt>
                <c:pt idx="345">
                  <c:v>-1.0387331059448432E-2</c:v>
                </c:pt>
                <c:pt idx="346">
                  <c:v>-1.0304428324909225E-3</c:v>
                </c:pt>
                <c:pt idx="347">
                  <c:v>-2.097674030007273E-3</c:v>
                </c:pt>
                <c:pt idx="348">
                  <c:v>5.4949488811592336E-3</c:v>
                </c:pt>
                <c:pt idx="349">
                  <c:v>-3.44477342271146E-3</c:v>
                </c:pt>
                <c:pt idx="350">
                  <c:v>8.8155315999272829E-3</c:v>
                </c:pt>
                <c:pt idx="351">
                  <c:v>6.1874397571668738E-3</c:v>
                </c:pt>
                <c:pt idx="352">
                  <c:v>-3.1703874024205901E-3</c:v>
                </c:pt>
                <c:pt idx="353">
                  <c:v>-4.4388555124240574E-3</c:v>
                </c:pt>
                <c:pt idx="354">
                  <c:v>5.0295849424065783E-3</c:v>
                </c:pt>
                <c:pt idx="355">
                  <c:v>-1.3798108831454769E-5</c:v>
                </c:pt>
                <c:pt idx="356">
                  <c:v>-1.2571586207360697E-2</c:v>
                </c:pt>
                <c:pt idx="357">
                  <c:v>-1.6204860425410094E-2</c:v>
                </c:pt>
                <c:pt idx="358">
                  <c:v>2.5302609284759267E-3</c:v>
                </c:pt>
                <c:pt idx="359">
                  <c:v>7.4764029525351266E-4</c:v>
                </c:pt>
                <c:pt idx="360">
                  <c:v>-2.5993220119003902E-3</c:v>
                </c:pt>
                <c:pt idx="361">
                  <c:v>-3.3497319108321866E-4</c:v>
                </c:pt>
                <c:pt idx="362">
                  <c:v>1.3740736629151006E-2</c:v>
                </c:pt>
                <c:pt idx="363">
                  <c:v>-5.0226602101452831E-3</c:v>
                </c:pt>
                <c:pt idx="364">
                  <c:v>-2.4291213288073102E-3</c:v>
                </c:pt>
                <c:pt idx="365">
                  <c:v>8.4398644447551876E-3</c:v>
                </c:pt>
                <c:pt idx="366">
                  <c:v>1.2162679413476782E-3</c:v>
                </c:pt>
                <c:pt idx="367">
                  <c:v>-2.0671364943135387E-3</c:v>
                </c:pt>
                <c:pt idx="368">
                  <c:v>-4.8052995568044921E-3</c:v>
                </c:pt>
                <c:pt idx="369">
                  <c:v>8.9046336726180588E-3</c:v>
                </c:pt>
                <c:pt idx="370">
                  <c:v>4.7850042753287744E-3</c:v>
                </c:pt>
                <c:pt idx="371">
                  <c:v>1.1095178342057001E-3</c:v>
                </c:pt>
                <c:pt idx="372">
                  <c:v>-5.0945008816343056E-3</c:v>
                </c:pt>
                <c:pt idx="373">
                  <c:v>-5.5660014941524474E-3</c:v>
                </c:pt>
                <c:pt idx="374">
                  <c:v>-1.0036080267580851E-3</c:v>
                </c:pt>
                <c:pt idx="375">
                  <c:v>-1.539839927597453E-2</c:v>
                </c:pt>
                <c:pt idx="376">
                  <c:v>-2.4554026176142147E-3</c:v>
                </c:pt>
                <c:pt idx="377">
                  <c:v>-2.5988484209401182E-3</c:v>
                </c:pt>
                <c:pt idx="378">
                  <c:v>-4.1941051482731325E-3</c:v>
                </c:pt>
                <c:pt idx="379">
                  <c:v>-5.1157788177069495E-3</c:v>
                </c:pt>
                <c:pt idx="380">
                  <c:v>8.4564241084092717E-3</c:v>
                </c:pt>
                <c:pt idx="381">
                  <c:v>-7.4196263629130879E-3</c:v>
                </c:pt>
                <c:pt idx="382">
                  <c:v>1.5606230891244488E-2</c:v>
                </c:pt>
                <c:pt idx="383">
                  <c:v>6.6334953122811511E-3</c:v>
                </c:pt>
                <c:pt idx="384">
                  <c:v>2.4220494360940436E-3</c:v>
                </c:pt>
                <c:pt idx="385">
                  <c:v>-9.3255542287693904E-3</c:v>
                </c:pt>
                <c:pt idx="386">
                  <c:v>-1.0096507452669731E-2</c:v>
                </c:pt>
                <c:pt idx="387">
                  <c:v>-1.4962439797248966E-2</c:v>
                </c:pt>
                <c:pt idx="388">
                  <c:v>-6.4917064247525776E-3</c:v>
                </c:pt>
                <c:pt idx="389">
                  <c:v>-4.1833992356591016E-3</c:v>
                </c:pt>
                <c:pt idx="390">
                  <c:v>7.9216088835932304E-4</c:v>
                </c:pt>
                <c:pt idx="391">
                  <c:v>6.715461205305623E-3</c:v>
                </c:pt>
                <c:pt idx="392">
                  <c:v>-6.5506292746326279E-3</c:v>
                </c:pt>
                <c:pt idx="393">
                  <c:v>6.9862056382009536E-3</c:v>
                </c:pt>
                <c:pt idx="394">
                  <c:v>2.5919908029994904E-3</c:v>
                </c:pt>
                <c:pt idx="395">
                  <c:v>-4.3822815890368141E-3</c:v>
                </c:pt>
                <c:pt idx="396">
                  <c:v>-7.7509172808900607E-3</c:v>
                </c:pt>
                <c:pt idx="397">
                  <c:v>2.3960578205877384E-3</c:v>
                </c:pt>
                <c:pt idx="398">
                  <c:v>-2.0036898156717883E-3</c:v>
                </c:pt>
                <c:pt idx="399">
                  <c:v>7.5810473446718757E-3</c:v>
                </c:pt>
                <c:pt idx="400">
                  <c:v>1.6205137079674727E-2</c:v>
                </c:pt>
                <c:pt idx="401">
                  <c:v>2.2038227679195624E-3</c:v>
                </c:pt>
                <c:pt idx="402">
                  <c:v>9.0974476751935936E-3</c:v>
                </c:pt>
                <c:pt idx="403">
                  <c:v>2.3950267733336621E-3</c:v>
                </c:pt>
                <c:pt idx="404">
                  <c:v>1.4138411131193697E-3</c:v>
                </c:pt>
                <c:pt idx="405">
                  <c:v>5.5592870573658824E-3</c:v>
                </c:pt>
                <c:pt idx="406">
                  <c:v>5.0711103842399786E-3</c:v>
                </c:pt>
                <c:pt idx="407">
                  <c:v>8.7541110628643569E-4</c:v>
                </c:pt>
                <c:pt idx="408">
                  <c:v>-6.8186847221795004E-3</c:v>
                </c:pt>
                <c:pt idx="409">
                  <c:v>-2.6408814511533168E-3</c:v>
                </c:pt>
                <c:pt idx="410">
                  <c:v>-2.3470130306909674E-3</c:v>
                </c:pt>
                <c:pt idx="411">
                  <c:v>3.2346665738081727E-4</c:v>
                </c:pt>
                <c:pt idx="412">
                  <c:v>-2.2696001249353279E-5</c:v>
                </c:pt>
                <c:pt idx="413">
                  <c:v>6.7491692528103258E-3</c:v>
                </c:pt>
                <c:pt idx="414">
                  <c:v>1.4558195215261978E-3</c:v>
                </c:pt>
                <c:pt idx="415">
                  <c:v>2.4927751973571103E-3</c:v>
                </c:pt>
                <c:pt idx="416">
                  <c:v>5.6789312022102979E-3</c:v>
                </c:pt>
                <c:pt idx="417">
                  <c:v>8.3352228892828832E-3</c:v>
                </c:pt>
                <c:pt idx="418">
                  <c:v>4.564711144417706E-3</c:v>
                </c:pt>
                <c:pt idx="419">
                  <c:v>-3.190068245158949E-3</c:v>
                </c:pt>
                <c:pt idx="420">
                  <c:v>9.1318302584812369E-3</c:v>
                </c:pt>
                <c:pt idx="421">
                  <c:v>-1.0285075027649962E-2</c:v>
                </c:pt>
                <c:pt idx="422">
                  <c:v>1.075604726542361E-2</c:v>
                </c:pt>
                <c:pt idx="423">
                  <c:v>8.4860944443795967E-5</c:v>
                </c:pt>
                <c:pt idx="424">
                  <c:v>2.6871852817707963E-3</c:v>
                </c:pt>
                <c:pt idx="425">
                  <c:v>-9.8874423890292907E-4</c:v>
                </c:pt>
                <c:pt idx="426">
                  <c:v>9.723641778049823E-4</c:v>
                </c:pt>
                <c:pt idx="427">
                  <c:v>4.5786865014996328E-3</c:v>
                </c:pt>
                <c:pt idx="428">
                  <c:v>-6.1250799705598689E-3</c:v>
                </c:pt>
                <c:pt idx="429">
                  <c:v>-5.7447389485387043E-3</c:v>
                </c:pt>
                <c:pt idx="430">
                  <c:v>-2.8530768395788001E-3</c:v>
                </c:pt>
                <c:pt idx="431">
                  <c:v>4.0431229190964193E-3</c:v>
                </c:pt>
                <c:pt idx="432">
                  <c:v>6.0792458392437739E-3</c:v>
                </c:pt>
                <c:pt idx="433">
                  <c:v>1.8329410735294929E-3</c:v>
                </c:pt>
                <c:pt idx="434">
                  <c:v>-3.4176495183284154E-3</c:v>
                </c:pt>
                <c:pt idx="435">
                  <c:v>1.953202985013659E-3</c:v>
                </c:pt>
                <c:pt idx="436">
                  <c:v>9.6794661302798419E-3</c:v>
                </c:pt>
                <c:pt idx="437">
                  <c:v>5.3534011080012102E-3</c:v>
                </c:pt>
                <c:pt idx="438">
                  <c:v>1.8908217545032591E-3</c:v>
                </c:pt>
                <c:pt idx="439">
                  <c:v>-5.3513543052989016E-3</c:v>
                </c:pt>
                <c:pt idx="440">
                  <c:v>-2.5201142931687418E-3</c:v>
                </c:pt>
                <c:pt idx="441">
                  <c:v>2.5039280433874476E-3</c:v>
                </c:pt>
                <c:pt idx="442">
                  <c:v>3.2186022433864751E-3</c:v>
                </c:pt>
                <c:pt idx="443">
                  <c:v>2.7693495028842678E-4</c:v>
                </c:pt>
                <c:pt idx="444">
                  <c:v>6.826477130569099E-3</c:v>
                </c:pt>
                <c:pt idx="445">
                  <c:v>-4.9169084323055657E-3</c:v>
                </c:pt>
                <c:pt idx="446">
                  <c:v>-3.8254842952022451E-3</c:v>
                </c:pt>
                <c:pt idx="447">
                  <c:v>2.0503223927487504E-3</c:v>
                </c:pt>
                <c:pt idx="448">
                  <c:v>6.1445648760739416E-3</c:v>
                </c:pt>
                <c:pt idx="449">
                  <c:v>2.1215820810404676E-3</c:v>
                </c:pt>
                <c:pt idx="450">
                  <c:v>-3.6214119270170913E-3</c:v>
                </c:pt>
                <c:pt idx="451">
                  <c:v>7.3519354661314941E-3</c:v>
                </c:pt>
                <c:pt idx="452">
                  <c:v>-3.7545162773133895E-3</c:v>
                </c:pt>
                <c:pt idx="453">
                  <c:v>3.2603965574623172E-3</c:v>
                </c:pt>
                <c:pt idx="454">
                  <c:v>2.1314697022533084E-3</c:v>
                </c:pt>
                <c:pt idx="455">
                  <c:v>-4.5497990950773125E-3</c:v>
                </c:pt>
                <c:pt idx="456">
                  <c:v>-5.6495438985202338E-3</c:v>
                </c:pt>
                <c:pt idx="457">
                  <c:v>1.3759247500199831E-3</c:v>
                </c:pt>
                <c:pt idx="458">
                  <c:v>6.729148846371014E-3</c:v>
                </c:pt>
                <c:pt idx="459">
                  <c:v>8.1875052167941238E-3</c:v>
                </c:pt>
                <c:pt idx="460">
                  <c:v>1.1370324916684512E-2</c:v>
                </c:pt>
                <c:pt idx="461">
                  <c:v>6.9330038087148356E-3</c:v>
                </c:pt>
                <c:pt idx="462">
                  <c:v>3.4330872964505156E-3</c:v>
                </c:pt>
                <c:pt idx="463">
                  <c:v>4.8984854347202441E-4</c:v>
                </c:pt>
                <c:pt idx="464">
                  <c:v>5.0802509522156619E-3</c:v>
                </c:pt>
                <c:pt idx="465">
                  <c:v>-8.524586056305487E-3</c:v>
                </c:pt>
                <c:pt idx="466">
                  <c:v>1.2458741727910268E-3</c:v>
                </c:pt>
                <c:pt idx="467">
                  <c:v>4.3046517974119156E-3</c:v>
                </c:pt>
                <c:pt idx="468">
                  <c:v>-2.8384742821917232E-3</c:v>
                </c:pt>
                <c:pt idx="469">
                  <c:v>1.5181178258223326E-3</c:v>
                </c:pt>
                <c:pt idx="470">
                  <c:v>7.735121594226721E-3</c:v>
                </c:pt>
                <c:pt idx="471">
                  <c:v>7.4829856798224494E-3</c:v>
                </c:pt>
                <c:pt idx="472">
                  <c:v>1.9158307663970271E-3</c:v>
                </c:pt>
                <c:pt idx="473">
                  <c:v>4.2392642007422158E-3</c:v>
                </c:pt>
                <c:pt idx="474">
                  <c:v>7.3344496296331371E-3</c:v>
                </c:pt>
                <c:pt idx="475">
                  <c:v>-1.1788935034292592E-2</c:v>
                </c:pt>
                <c:pt idx="476">
                  <c:v>-3.6861981977146939E-3</c:v>
                </c:pt>
                <c:pt idx="477">
                  <c:v>4.1928242334364116E-4</c:v>
                </c:pt>
                <c:pt idx="478">
                  <c:v>4.9519981374134591E-3</c:v>
                </c:pt>
                <c:pt idx="479">
                  <c:v>-6.0043488655605838E-3</c:v>
                </c:pt>
                <c:pt idx="480">
                  <c:v>-7.0472793931755033E-4</c:v>
                </c:pt>
                <c:pt idx="481">
                  <c:v>5.4695776061646278E-3</c:v>
                </c:pt>
                <c:pt idx="482">
                  <c:v>-1.0256450116385468E-3</c:v>
                </c:pt>
                <c:pt idx="483">
                  <c:v>-1.0545154913078857E-2</c:v>
                </c:pt>
                <c:pt idx="484">
                  <c:v>-7.4483358208647541E-3</c:v>
                </c:pt>
                <c:pt idx="485">
                  <c:v>6.9591384917051941E-3</c:v>
                </c:pt>
                <c:pt idx="486">
                  <c:v>4.1059209962603233E-3</c:v>
                </c:pt>
                <c:pt idx="487">
                  <c:v>-1.3505873532751007E-3</c:v>
                </c:pt>
                <c:pt idx="488">
                  <c:v>3.1476887690017655E-3</c:v>
                </c:pt>
                <c:pt idx="489">
                  <c:v>-4.5666201045435747E-3</c:v>
                </c:pt>
                <c:pt idx="490">
                  <c:v>-5.8915169615944563E-3</c:v>
                </c:pt>
                <c:pt idx="491">
                  <c:v>3.2164393779061565E-4</c:v>
                </c:pt>
                <c:pt idx="492">
                  <c:v>1.5655711297147335E-3</c:v>
                </c:pt>
                <c:pt idx="493">
                  <c:v>-5.137758290060533E-3</c:v>
                </c:pt>
                <c:pt idx="494">
                  <c:v>-2.8493583662490217E-3</c:v>
                </c:pt>
                <c:pt idx="495">
                  <c:v>4.3122503280009121E-3</c:v>
                </c:pt>
                <c:pt idx="496">
                  <c:v>1.4694489979421606E-4</c:v>
                </c:pt>
                <c:pt idx="497">
                  <c:v>2.4484795493044608E-3</c:v>
                </c:pt>
                <c:pt idx="498">
                  <c:v>-2.9512752327599183E-3</c:v>
                </c:pt>
                <c:pt idx="499">
                  <c:v>-6.2557606509410085E-3</c:v>
                </c:pt>
                <c:pt idx="500">
                  <c:v>2.0870149919961396E-3</c:v>
                </c:pt>
                <c:pt idx="501">
                  <c:v>1.8939840636754115E-3</c:v>
                </c:pt>
                <c:pt idx="502">
                  <c:v>2.4812549073918429E-4</c:v>
                </c:pt>
                <c:pt idx="503">
                  <c:v>-4.8521839960522653E-3</c:v>
                </c:pt>
                <c:pt idx="504">
                  <c:v>9.3825564041325141E-3</c:v>
                </c:pt>
                <c:pt idx="505">
                  <c:v>4.7992988144208368E-3</c:v>
                </c:pt>
                <c:pt idx="506">
                  <c:v>2.3578342385654032E-3</c:v>
                </c:pt>
                <c:pt idx="507">
                  <c:v>1.8450495779825536E-3</c:v>
                </c:pt>
                <c:pt idx="508">
                  <c:v>5.8976074708040286E-3</c:v>
                </c:pt>
                <c:pt idx="509">
                  <c:v>4.6982158385487317E-3</c:v>
                </c:pt>
                <c:pt idx="510">
                  <c:v>8.8607507045185847E-3</c:v>
                </c:pt>
                <c:pt idx="511">
                  <c:v>-1.5754115795312492E-4</c:v>
                </c:pt>
                <c:pt idx="512">
                  <c:v>3.833947067360447E-3</c:v>
                </c:pt>
                <c:pt idx="513">
                  <c:v>1.6478692204573958E-3</c:v>
                </c:pt>
                <c:pt idx="514">
                  <c:v>4.4297877773378114E-3</c:v>
                </c:pt>
                <c:pt idx="515">
                  <c:v>-2.9286591638919969E-3</c:v>
                </c:pt>
                <c:pt idx="516">
                  <c:v>-1.1585079627478101E-2</c:v>
                </c:pt>
                <c:pt idx="517">
                  <c:v>-8.0240064758942062E-3</c:v>
                </c:pt>
                <c:pt idx="518">
                  <c:v>-3.45540040278986E-3</c:v>
                </c:pt>
                <c:pt idx="519">
                  <c:v>1.5248241369763049E-5</c:v>
                </c:pt>
                <c:pt idx="520">
                  <c:v>-5.00772140080995E-4</c:v>
                </c:pt>
                <c:pt idx="521">
                  <c:v>2.6281624476409476E-3</c:v>
                </c:pt>
                <c:pt idx="522">
                  <c:v>-9.8318834812623906E-3</c:v>
                </c:pt>
                <c:pt idx="523">
                  <c:v>5.860311931494425E-3</c:v>
                </c:pt>
                <c:pt idx="524">
                  <c:v>-5.5940023911736723E-3</c:v>
                </c:pt>
                <c:pt idx="525">
                  <c:v>-4.7555771219727006E-3</c:v>
                </c:pt>
                <c:pt idx="526">
                  <c:v>5.625709872108961E-3</c:v>
                </c:pt>
                <c:pt idx="527">
                  <c:v>5.4975680085460219E-3</c:v>
                </c:pt>
                <c:pt idx="528">
                  <c:v>-7.2078410705406432E-3</c:v>
                </c:pt>
                <c:pt idx="529">
                  <c:v>9.0556761096549799E-3</c:v>
                </c:pt>
                <c:pt idx="530">
                  <c:v>6.1517312470612808E-3</c:v>
                </c:pt>
                <c:pt idx="531">
                  <c:v>-8.761443143344063E-4</c:v>
                </c:pt>
                <c:pt idx="532">
                  <c:v>-2.1722069835914395E-3</c:v>
                </c:pt>
                <c:pt idx="533">
                  <c:v>-9.7764097466312354E-4</c:v>
                </c:pt>
                <c:pt idx="534">
                  <c:v>4.0335636613206176E-3</c:v>
                </c:pt>
                <c:pt idx="535">
                  <c:v>-7.112023615253143E-3</c:v>
                </c:pt>
                <c:pt idx="536">
                  <c:v>-2.3615766348855094E-3</c:v>
                </c:pt>
                <c:pt idx="537">
                  <c:v>-4.1897202656687891E-3</c:v>
                </c:pt>
                <c:pt idx="538">
                  <c:v>-1.3440203963636189E-2</c:v>
                </c:pt>
                <c:pt idx="539">
                  <c:v>-8.3117036978903082E-3</c:v>
                </c:pt>
                <c:pt idx="540">
                  <c:v>-1.3949893667133624E-2</c:v>
                </c:pt>
                <c:pt idx="541">
                  <c:v>1.0025278863763394E-2</c:v>
                </c:pt>
                <c:pt idx="542">
                  <c:v>4.9046726660236838E-3</c:v>
                </c:pt>
                <c:pt idx="543">
                  <c:v>-3.207705423086861E-3</c:v>
                </c:pt>
                <c:pt idx="544">
                  <c:v>-4.7519380175908114E-3</c:v>
                </c:pt>
                <c:pt idx="545">
                  <c:v>7.5598958250219696E-3</c:v>
                </c:pt>
                <c:pt idx="546">
                  <c:v>5.0751011147600316E-3</c:v>
                </c:pt>
                <c:pt idx="547">
                  <c:v>9.3757924662759996E-3</c:v>
                </c:pt>
                <c:pt idx="548">
                  <c:v>-2.6018555756290862E-4</c:v>
                </c:pt>
                <c:pt idx="549">
                  <c:v>1.8944567083908723E-3</c:v>
                </c:pt>
                <c:pt idx="550">
                  <c:v>-2.4820553026905696E-3</c:v>
                </c:pt>
                <c:pt idx="551">
                  <c:v>1.548145433003843E-3</c:v>
                </c:pt>
                <c:pt idx="552">
                  <c:v>5.1449502336882525E-3</c:v>
                </c:pt>
                <c:pt idx="553">
                  <c:v>-4.2084688138326878E-3</c:v>
                </c:pt>
                <c:pt idx="554">
                  <c:v>1.185627017720115E-2</c:v>
                </c:pt>
                <c:pt idx="555">
                  <c:v>4.5511498880301303E-3</c:v>
                </c:pt>
                <c:pt idx="556">
                  <c:v>-1.6912680943572324E-3</c:v>
                </c:pt>
                <c:pt idx="557">
                  <c:v>-1.9175266745258626E-3</c:v>
                </c:pt>
                <c:pt idx="558">
                  <c:v>4.5291813962118265E-3</c:v>
                </c:pt>
                <c:pt idx="559">
                  <c:v>1.4370413065190699E-3</c:v>
                </c:pt>
                <c:pt idx="560">
                  <c:v>-4.9730082801831082E-4</c:v>
                </c:pt>
                <c:pt idx="561">
                  <c:v>-3.6871759933041186E-4</c:v>
                </c:pt>
                <c:pt idx="562">
                  <c:v>4.7877846948800578E-3</c:v>
                </c:pt>
                <c:pt idx="563">
                  <c:v>1.0348636732111694E-2</c:v>
                </c:pt>
                <c:pt idx="564">
                  <c:v>1.8170637429511605E-3</c:v>
                </c:pt>
                <c:pt idx="565">
                  <c:v>6.6706434446280362E-3</c:v>
                </c:pt>
                <c:pt idx="566">
                  <c:v>2.0457461991232925E-2</c:v>
                </c:pt>
                <c:pt idx="567">
                  <c:v>8.1027069438026102E-3</c:v>
                </c:pt>
                <c:pt idx="568">
                  <c:v>3.9528391278700111E-3</c:v>
                </c:pt>
                <c:pt idx="569">
                  <c:v>-1.7471803980189876E-3</c:v>
                </c:pt>
                <c:pt idx="570">
                  <c:v>3.2600508207486305E-3</c:v>
                </c:pt>
                <c:pt idx="571">
                  <c:v>1.3201007481038823E-3</c:v>
                </c:pt>
                <c:pt idx="572">
                  <c:v>-4.3290007586474161E-3</c:v>
                </c:pt>
                <c:pt idx="573">
                  <c:v>9.5379823284038147E-4</c:v>
                </c:pt>
                <c:pt idx="574">
                  <c:v>1.2175680378580502E-2</c:v>
                </c:pt>
                <c:pt idx="575">
                  <c:v>1.2849809834677589E-2</c:v>
                </c:pt>
                <c:pt idx="576">
                  <c:v>-1.7725828134065394E-3</c:v>
                </c:pt>
                <c:pt idx="577">
                  <c:v>1.6071192528823127E-3</c:v>
                </c:pt>
                <c:pt idx="578">
                  <c:v>-1.4222159410509942E-2</c:v>
                </c:pt>
                <c:pt idx="579">
                  <c:v>4.9475165299410597E-3</c:v>
                </c:pt>
                <c:pt idx="580">
                  <c:v>4.4291220395791331E-3</c:v>
                </c:pt>
                <c:pt idx="581">
                  <c:v>4.2976644029708395E-3</c:v>
                </c:pt>
                <c:pt idx="582">
                  <c:v>9.903529283836263E-3</c:v>
                </c:pt>
                <c:pt idx="583">
                  <c:v>5.7075980144208728E-3</c:v>
                </c:pt>
                <c:pt idx="584">
                  <c:v>-2.1742086840976452E-3</c:v>
                </c:pt>
                <c:pt idx="585">
                  <c:v>4.8305512598190972E-4</c:v>
                </c:pt>
                <c:pt idx="586">
                  <c:v>-3.5062939508453059E-3</c:v>
                </c:pt>
                <c:pt idx="587">
                  <c:v>-6.8753939803709255E-3</c:v>
                </c:pt>
                <c:pt idx="588">
                  <c:v>6.5430177643685588E-3</c:v>
                </c:pt>
                <c:pt idx="589">
                  <c:v>2.4072283779417876E-3</c:v>
                </c:pt>
                <c:pt idx="590">
                  <c:v>-9.1524290208980594E-3</c:v>
                </c:pt>
                <c:pt idx="591">
                  <c:v>1.4794053028200293E-3</c:v>
                </c:pt>
                <c:pt idx="592">
                  <c:v>3.4218720221299791E-3</c:v>
                </c:pt>
                <c:pt idx="593">
                  <c:v>1.3174349370812008E-3</c:v>
                </c:pt>
                <c:pt idx="594">
                  <c:v>1.1361631573985989E-2</c:v>
                </c:pt>
                <c:pt idx="595">
                  <c:v>9.2244698464408817E-3</c:v>
                </c:pt>
                <c:pt idx="596">
                  <c:v>-2.9526587996769691E-3</c:v>
                </c:pt>
                <c:pt idx="597">
                  <c:v>-2.1115698798429821E-2</c:v>
                </c:pt>
                <c:pt idx="598">
                  <c:v>-5.0982817207920056E-3</c:v>
                </c:pt>
                <c:pt idx="599">
                  <c:v>7.4342364436114933E-3</c:v>
                </c:pt>
                <c:pt idx="600">
                  <c:v>-2.3429082212985306E-3</c:v>
                </c:pt>
                <c:pt idx="601">
                  <c:v>-1.5557208551848641E-2</c:v>
                </c:pt>
                <c:pt idx="602">
                  <c:v>1.0079080002224091E-2</c:v>
                </c:pt>
                <c:pt idx="603">
                  <c:v>-4.7352654852423287E-3</c:v>
                </c:pt>
                <c:pt idx="604">
                  <c:v>1.7869967895292525E-2</c:v>
                </c:pt>
                <c:pt idx="605">
                  <c:v>-9.9631658391133322E-3</c:v>
                </c:pt>
                <c:pt idx="606">
                  <c:v>9.415577400253396E-3</c:v>
                </c:pt>
                <c:pt idx="607">
                  <c:v>-1.3011494553287434E-3</c:v>
                </c:pt>
                <c:pt idx="608">
                  <c:v>7.18007734330033E-3</c:v>
                </c:pt>
                <c:pt idx="609">
                  <c:v>-3.7638581528382955E-3</c:v>
                </c:pt>
                <c:pt idx="610">
                  <c:v>7.2172409632705048E-3</c:v>
                </c:pt>
                <c:pt idx="611">
                  <c:v>5.0159713096876929E-5</c:v>
                </c:pt>
                <c:pt idx="612">
                  <c:v>-9.7392544332029034E-3</c:v>
                </c:pt>
                <c:pt idx="613">
                  <c:v>2.9677875690214571E-3</c:v>
                </c:pt>
                <c:pt idx="614">
                  <c:v>-7.6708008067306686E-3</c:v>
                </c:pt>
                <c:pt idx="615">
                  <c:v>5.8672702236109882E-3</c:v>
                </c:pt>
                <c:pt idx="616">
                  <c:v>4.4420757111879932E-3</c:v>
                </c:pt>
                <c:pt idx="617">
                  <c:v>3.2319437149108312E-3</c:v>
                </c:pt>
                <c:pt idx="618">
                  <c:v>5.9133602496496528E-3</c:v>
                </c:pt>
                <c:pt idx="619">
                  <c:v>3.6931451676362253E-3</c:v>
                </c:pt>
                <c:pt idx="620">
                  <c:v>3.3710026687649355E-3</c:v>
                </c:pt>
                <c:pt idx="621">
                  <c:v>-6.4132914383778911E-3</c:v>
                </c:pt>
                <c:pt idx="622">
                  <c:v>7.3364155357774361E-3</c:v>
                </c:pt>
                <c:pt idx="623">
                  <c:v>-2.1381877027633613E-4</c:v>
                </c:pt>
                <c:pt idx="624">
                  <c:v>-4.0893487084771958E-3</c:v>
                </c:pt>
                <c:pt idx="625">
                  <c:v>3.4431131207391997E-3</c:v>
                </c:pt>
                <c:pt idx="626">
                  <c:v>-1.1198431843397458E-2</c:v>
                </c:pt>
                <c:pt idx="627">
                  <c:v>1.4407994489542065E-3</c:v>
                </c:pt>
                <c:pt idx="628">
                  <c:v>1.6062509231593233E-2</c:v>
                </c:pt>
                <c:pt idx="629">
                  <c:v>1.7733692952736234E-3</c:v>
                </c:pt>
                <c:pt idx="630">
                  <c:v>1.2147196920581206E-3</c:v>
                </c:pt>
                <c:pt idx="631">
                  <c:v>-2.202767082468908E-3</c:v>
                </c:pt>
                <c:pt idx="632">
                  <c:v>5.2531497425974778E-3</c:v>
                </c:pt>
                <c:pt idx="633">
                  <c:v>8.6729117063467345E-4</c:v>
                </c:pt>
                <c:pt idx="634">
                  <c:v>-7.1788682071318097E-3</c:v>
                </c:pt>
                <c:pt idx="635">
                  <c:v>1.3656201783766265E-4</c:v>
                </c:pt>
                <c:pt idx="636">
                  <c:v>-1.524839281915699E-2</c:v>
                </c:pt>
                <c:pt idx="637">
                  <c:v>6.7483410794881684E-3</c:v>
                </c:pt>
                <c:pt idx="638">
                  <c:v>-5.5829893714841473E-3</c:v>
                </c:pt>
                <c:pt idx="639">
                  <c:v>1.4678177414507178E-3</c:v>
                </c:pt>
                <c:pt idx="640">
                  <c:v>-1.0860963573548457E-2</c:v>
                </c:pt>
                <c:pt idx="641">
                  <c:v>9.9183292197013414E-4</c:v>
                </c:pt>
                <c:pt idx="642">
                  <c:v>7.883546470263552E-3</c:v>
                </c:pt>
                <c:pt idx="643">
                  <c:v>3.8450511793153485E-3</c:v>
                </c:pt>
                <c:pt idx="644">
                  <c:v>-4.1744719810147216E-3</c:v>
                </c:pt>
                <c:pt idx="645">
                  <c:v>5.3911051782769932E-3</c:v>
                </c:pt>
                <c:pt idx="646">
                  <c:v>9.1450574409679217E-3</c:v>
                </c:pt>
                <c:pt idx="647">
                  <c:v>6.0327630166456293E-3</c:v>
                </c:pt>
                <c:pt idx="648">
                  <c:v>-3.8739583655484331E-4</c:v>
                </c:pt>
                <c:pt idx="649">
                  <c:v>-8.3095802205875437E-4</c:v>
                </c:pt>
                <c:pt idx="650">
                  <c:v>3.5595697583823936E-3</c:v>
                </c:pt>
                <c:pt idx="651">
                  <c:v>-4.2195638976008428E-5</c:v>
                </c:pt>
                <c:pt idx="652">
                  <c:v>6.7552271049311262E-3</c:v>
                </c:pt>
                <c:pt idx="653">
                  <c:v>-1.0395275169402805E-3</c:v>
                </c:pt>
                <c:pt idx="654">
                  <c:v>4.8924520259116325E-3</c:v>
                </c:pt>
                <c:pt idx="655">
                  <c:v>-1.0355004482994602E-2</c:v>
                </c:pt>
                <c:pt idx="656">
                  <c:v>-1.1024426319883079E-2</c:v>
                </c:pt>
                <c:pt idx="657">
                  <c:v>-5.6100497425024482E-3</c:v>
                </c:pt>
                <c:pt idx="658">
                  <c:v>-6.8888846695565574E-3</c:v>
                </c:pt>
                <c:pt idx="659">
                  <c:v>6.8482479371053118E-3</c:v>
                </c:pt>
                <c:pt idx="660">
                  <c:v>8.5155875913575322E-3</c:v>
                </c:pt>
                <c:pt idx="661">
                  <c:v>1.4137313223340777E-3</c:v>
                </c:pt>
                <c:pt idx="662">
                  <c:v>1.5367299273513811E-3</c:v>
                </c:pt>
                <c:pt idx="663">
                  <c:v>7.4690020410453127E-3</c:v>
                </c:pt>
                <c:pt idx="664">
                  <c:v>-6.6859105299196739E-3</c:v>
                </c:pt>
                <c:pt idx="665">
                  <c:v>9.9172312481621942E-3</c:v>
                </c:pt>
                <c:pt idx="666">
                  <c:v>-1.7039337135533136E-3</c:v>
                </c:pt>
                <c:pt idx="667">
                  <c:v>1.9158935479583357E-3</c:v>
                </c:pt>
                <c:pt idx="668">
                  <c:v>-7.6389791301331271E-3</c:v>
                </c:pt>
                <c:pt idx="669">
                  <c:v>-1.476005170173867E-3</c:v>
                </c:pt>
                <c:pt idx="670">
                  <c:v>-6.2666144663355581E-3</c:v>
                </c:pt>
                <c:pt idx="671">
                  <c:v>0</c:v>
                </c:pt>
                <c:pt idx="672">
                  <c:v>-1.5590012996666094E-2</c:v>
                </c:pt>
                <c:pt idx="673">
                  <c:v>4.4396349451461085E-3</c:v>
                </c:pt>
                <c:pt idx="674">
                  <c:v>2.2124478982964036E-3</c:v>
                </c:pt>
                <c:pt idx="675">
                  <c:v>5.1351702014188691E-3</c:v>
                </c:pt>
                <c:pt idx="676">
                  <c:v>-7.7895650787794773E-4</c:v>
                </c:pt>
                <c:pt idx="677">
                  <c:v>9.115755746059738E-3</c:v>
                </c:pt>
                <c:pt idx="678">
                  <c:v>2.7746872879504058E-3</c:v>
                </c:pt>
                <c:pt idx="679">
                  <c:v>1.5966877687512294E-3</c:v>
                </c:pt>
                <c:pt idx="680">
                  <c:v>1.2013934053743151E-3</c:v>
                </c:pt>
                <c:pt idx="681">
                  <c:v>3.0469688528972257E-3</c:v>
                </c:pt>
                <c:pt idx="682">
                  <c:v>1.6234147702677632E-2</c:v>
                </c:pt>
                <c:pt idx="683">
                  <c:v>-4.5944725602593643E-4</c:v>
                </c:pt>
                <c:pt idx="684">
                  <c:v>-1.0743187662915156E-3</c:v>
                </c:pt>
                <c:pt idx="685">
                  <c:v>-1.9336287086089532E-3</c:v>
                </c:pt>
                <c:pt idx="686">
                  <c:v>-8.0473578649701855E-3</c:v>
                </c:pt>
                <c:pt idx="687">
                  <c:v>-9.5612140229056203E-3</c:v>
                </c:pt>
                <c:pt idx="688">
                  <c:v>1.8680861553376123E-3</c:v>
                </c:pt>
                <c:pt idx="689">
                  <c:v>3.2023979208572827E-2</c:v>
                </c:pt>
                <c:pt idx="690">
                  <c:v>-6.1124179171720965E-2</c:v>
                </c:pt>
                <c:pt idx="691">
                  <c:v>3.3071319917765837E-2</c:v>
                </c:pt>
                <c:pt idx="692">
                  <c:v>8.8487486443831614E-3</c:v>
                </c:pt>
                <c:pt idx="693">
                  <c:v>2.0331832162561177E-2</c:v>
                </c:pt>
                <c:pt idx="694">
                  <c:v>-1.3297717180034533E-3</c:v>
                </c:pt>
                <c:pt idx="695">
                  <c:v>2.4288513264755015E-4</c:v>
                </c:pt>
                <c:pt idx="696">
                  <c:v>2.4942165167948799E-3</c:v>
                </c:pt>
                <c:pt idx="697">
                  <c:v>3.2511583723450442E-3</c:v>
                </c:pt>
                <c:pt idx="698">
                  <c:v>2.8465062056323236E-3</c:v>
                </c:pt>
                <c:pt idx="699">
                  <c:v>3.9257017677237702E-3</c:v>
                </c:pt>
                <c:pt idx="700">
                  <c:v>-1.7801801450586289E-3</c:v>
                </c:pt>
                <c:pt idx="701">
                  <c:v>2.1663878659495613E-3</c:v>
                </c:pt>
                <c:pt idx="702">
                  <c:v>-2.800199840690768E-3</c:v>
                </c:pt>
                <c:pt idx="703">
                  <c:v>1.5625351959234377E-3</c:v>
                </c:pt>
                <c:pt idx="704">
                  <c:v>7.7636149373623573E-3</c:v>
                </c:pt>
                <c:pt idx="705">
                  <c:v>6.1987880801539115E-3</c:v>
                </c:pt>
                <c:pt idx="706">
                  <c:v>7.3341133907751897E-3</c:v>
                </c:pt>
                <c:pt idx="707">
                  <c:v>-1.4108806608831069E-3</c:v>
                </c:pt>
                <c:pt idx="708">
                  <c:v>5.4555916887449258E-3</c:v>
                </c:pt>
                <c:pt idx="709">
                  <c:v>-7.5001350225091805E-4</c:v>
                </c:pt>
                <c:pt idx="710">
                  <c:v>6.7196627176867064E-3</c:v>
                </c:pt>
                <c:pt idx="711">
                  <c:v>6.4418338608693553E-4</c:v>
                </c:pt>
                <c:pt idx="712">
                  <c:v>8.9252669109216129E-4</c:v>
                </c:pt>
                <c:pt idx="713">
                  <c:v>-1.3567851613180805E-4</c:v>
                </c:pt>
                <c:pt idx="714">
                  <c:v>4.621191209858602E-3</c:v>
                </c:pt>
                <c:pt idx="715">
                  <c:v>-4.4608458502798307E-3</c:v>
                </c:pt>
                <c:pt idx="716">
                  <c:v>-3.4950370829703764E-4</c:v>
                </c:pt>
                <c:pt idx="717">
                  <c:v>7.6283551773595644E-3</c:v>
                </c:pt>
                <c:pt idx="718">
                  <c:v>3.4447775252144188E-3</c:v>
                </c:pt>
                <c:pt idx="719">
                  <c:v>1.0691123118667994E-3</c:v>
                </c:pt>
                <c:pt idx="720">
                  <c:v>7.6031681375885599E-3</c:v>
                </c:pt>
                <c:pt idx="721">
                  <c:v>-1.0944379412161618E-2</c:v>
                </c:pt>
                <c:pt idx="722">
                  <c:v>-8.8295004833916055E-4</c:v>
                </c:pt>
                <c:pt idx="723">
                  <c:v>-1.2329476150728363E-3</c:v>
                </c:pt>
                <c:pt idx="724">
                  <c:v>-2.6813917161045081E-3</c:v>
                </c:pt>
                <c:pt idx="725">
                  <c:v>-3.0315693109630526E-4</c:v>
                </c:pt>
                <c:pt idx="726">
                  <c:v>1.7414807623613839E-2</c:v>
                </c:pt>
                <c:pt idx="727">
                  <c:v>5.0331229834195685E-5</c:v>
                </c:pt>
                <c:pt idx="728">
                  <c:v>8.5323207050211575E-4</c:v>
                </c:pt>
                <c:pt idx="729">
                  <c:v>3.7684413413710642E-3</c:v>
                </c:pt>
                <c:pt idx="730">
                  <c:v>2.3918165281347566E-3</c:v>
                </c:pt>
                <c:pt idx="731">
                  <c:v>-1.179214365820847E-2</c:v>
                </c:pt>
                <c:pt idx="732">
                  <c:v>-2.7151768509934573E-2</c:v>
                </c:pt>
                <c:pt idx="733">
                  <c:v>-2.6244521876233645E-3</c:v>
                </c:pt>
                <c:pt idx="734">
                  <c:v>1.2630098903435905E-2</c:v>
                </c:pt>
                <c:pt idx="735">
                  <c:v>-7.4564783815551433E-3</c:v>
                </c:pt>
                <c:pt idx="736">
                  <c:v>1.0333291215294636E-2</c:v>
                </c:pt>
                <c:pt idx="737">
                  <c:v>-8.4163857619835045E-4</c:v>
                </c:pt>
                <c:pt idx="738">
                  <c:v>-8.5798488623965701E-3</c:v>
                </c:pt>
                <c:pt idx="739">
                  <c:v>1.967576418212346E-4</c:v>
                </c:pt>
                <c:pt idx="740">
                  <c:v>1.6325753017997963E-2</c:v>
                </c:pt>
                <c:pt idx="741">
                  <c:v>1.2827353745464452E-3</c:v>
                </c:pt>
                <c:pt idx="742">
                  <c:v>5.1226480205889434E-3</c:v>
                </c:pt>
                <c:pt idx="743">
                  <c:v>2.8846339064908873E-3</c:v>
                </c:pt>
                <c:pt idx="744">
                  <c:v>1.6659376161698191E-3</c:v>
                </c:pt>
                <c:pt idx="745">
                  <c:v>4.6943013455067465E-4</c:v>
                </c:pt>
                <c:pt idx="746">
                  <c:v>7.5230495028018388E-3</c:v>
                </c:pt>
                <c:pt idx="747">
                  <c:v>2.8583793184004246E-4</c:v>
                </c:pt>
                <c:pt idx="748">
                  <c:v>1.3820625685767348E-3</c:v>
                </c:pt>
                <c:pt idx="749">
                  <c:v>3.9677928253165316E-3</c:v>
                </c:pt>
                <c:pt idx="750">
                  <c:v>3.332155576256976E-3</c:v>
                </c:pt>
                <c:pt idx="751">
                  <c:v>1.6945599981708784E-3</c:v>
                </c:pt>
                <c:pt idx="752">
                  <c:v>4.5491810987265924E-5</c:v>
                </c:pt>
                <c:pt idx="753">
                  <c:v>-3.2152298316295127E-3</c:v>
                </c:pt>
                <c:pt idx="754">
                  <c:v>-2.1293593353156458E-3</c:v>
                </c:pt>
                <c:pt idx="755">
                  <c:v>-1.1718778635040884E-2</c:v>
                </c:pt>
                <c:pt idx="756">
                  <c:v>3.3843154867430215E-3</c:v>
                </c:pt>
                <c:pt idx="757">
                  <c:v>4.1898915779699352E-3</c:v>
                </c:pt>
                <c:pt idx="758">
                  <c:v>-4.9099820315822162E-3</c:v>
                </c:pt>
                <c:pt idx="759">
                  <c:v>1.8703577686811725E-2</c:v>
                </c:pt>
                <c:pt idx="760">
                  <c:v>-1.2769632085949123E-3</c:v>
                </c:pt>
                <c:pt idx="761">
                  <c:v>1.0740980826790941E-3</c:v>
                </c:pt>
                <c:pt idx="762">
                  <c:v>1.3700169261289907E-3</c:v>
                </c:pt>
                <c:pt idx="763">
                  <c:v>-1.6142975111744227E-3</c:v>
                </c:pt>
                <c:pt idx="764">
                  <c:v>1.5061029536485916E-3</c:v>
                </c:pt>
                <c:pt idx="765">
                  <c:v>1.4652627320371103E-2</c:v>
                </c:pt>
                <c:pt idx="766">
                  <c:v>5.7259000437972149E-3</c:v>
                </c:pt>
                <c:pt idx="767">
                  <c:v>5.2043728308821627E-5</c:v>
                </c:pt>
                <c:pt idx="768">
                  <c:v>2.4545416990469533E-3</c:v>
                </c:pt>
                <c:pt idx="769">
                  <c:v>8.1156779580020509E-3</c:v>
                </c:pt>
                <c:pt idx="770">
                  <c:v>-1.4161659013423675E-3</c:v>
                </c:pt>
                <c:pt idx="771">
                  <c:v>-1.4160706565616464E-2</c:v>
                </c:pt>
                <c:pt idx="772">
                  <c:v>-5.4061649034323775E-4</c:v>
                </c:pt>
                <c:pt idx="773">
                  <c:v>-2.1424213560051142E-2</c:v>
                </c:pt>
                <c:pt idx="774">
                  <c:v>-9.3704617030021236E-3</c:v>
                </c:pt>
                <c:pt idx="775">
                  <c:v>-8.7873868890513806E-3</c:v>
                </c:pt>
                <c:pt idx="776">
                  <c:v>8.7294190611797214E-3</c:v>
                </c:pt>
                <c:pt idx="777">
                  <c:v>-1.2481224780150524E-3</c:v>
                </c:pt>
                <c:pt idx="778">
                  <c:v>6.6025884544412166E-4</c:v>
                </c:pt>
                <c:pt idx="779">
                  <c:v>-1.3690215037028451E-3</c:v>
                </c:pt>
                <c:pt idx="780">
                  <c:v>6.5359709797854493E-3</c:v>
                </c:pt>
                <c:pt idx="781">
                  <c:v>-2.8135747549046168E-3</c:v>
                </c:pt>
                <c:pt idx="782">
                  <c:v>-3.4400322558512829E-3</c:v>
                </c:pt>
                <c:pt idx="783">
                  <c:v>-8.9077370211750866E-3</c:v>
                </c:pt>
                <c:pt idx="784">
                  <c:v>4.2012887401181526E-3</c:v>
                </c:pt>
                <c:pt idx="785">
                  <c:v>-2.9394512770190822E-3</c:v>
                </c:pt>
                <c:pt idx="786">
                  <c:v>-1.2547572710405439E-2</c:v>
                </c:pt>
                <c:pt idx="787">
                  <c:v>-1.4967001787999864E-3</c:v>
                </c:pt>
                <c:pt idx="788">
                  <c:v>-1.4784511312879243E-3</c:v>
                </c:pt>
                <c:pt idx="789">
                  <c:v>-8.999611999159645E-3</c:v>
                </c:pt>
                <c:pt idx="790">
                  <c:v>6.5272351766822402E-3</c:v>
                </c:pt>
                <c:pt idx="791">
                  <c:v>5.2329751018960107E-3</c:v>
                </c:pt>
                <c:pt idx="792">
                  <c:v>-5.1631312234782087E-3</c:v>
                </c:pt>
                <c:pt idx="793">
                  <c:v>-5.582325779352925E-3</c:v>
                </c:pt>
                <c:pt idx="794">
                  <c:v>4.0816635619174632E-3</c:v>
                </c:pt>
                <c:pt idx="795">
                  <c:v>-1.2795285095394087E-2</c:v>
                </c:pt>
                <c:pt idx="796">
                  <c:v>9.0420073960085362E-3</c:v>
                </c:pt>
                <c:pt idx="797">
                  <c:v>1.111981616471547E-2</c:v>
                </c:pt>
                <c:pt idx="798">
                  <c:v>-1.1696111838928169E-2</c:v>
                </c:pt>
                <c:pt idx="799">
                  <c:v>-2.115930138503043E-3</c:v>
                </c:pt>
                <c:pt idx="800">
                  <c:v>-2.8577641296602358E-4</c:v>
                </c:pt>
                <c:pt idx="801">
                  <c:v>-1.0738316295232621E-2</c:v>
                </c:pt>
                <c:pt idx="802">
                  <c:v>-1.367571506132014E-2</c:v>
                </c:pt>
                <c:pt idx="803">
                  <c:v>-1.1190921021192711E-3</c:v>
                </c:pt>
                <c:pt idx="804">
                  <c:v>-3.3584146152224673E-3</c:v>
                </c:pt>
                <c:pt idx="805">
                  <c:v>2.7548168140559032E-3</c:v>
                </c:pt>
                <c:pt idx="806">
                  <c:v>-7.1946440359882038E-3</c:v>
                </c:pt>
                <c:pt idx="807">
                  <c:v>2.3589058766826355E-2</c:v>
                </c:pt>
                <c:pt idx="808">
                  <c:v>1.307542239477766E-2</c:v>
                </c:pt>
                <c:pt idx="809">
                  <c:v>-1.1318480070857482E-3</c:v>
                </c:pt>
                <c:pt idx="810">
                  <c:v>3.3175600994260466E-3</c:v>
                </c:pt>
                <c:pt idx="811">
                  <c:v>-1.4972560750343969E-2</c:v>
                </c:pt>
                <c:pt idx="812">
                  <c:v>9.0311310507838367E-3</c:v>
                </c:pt>
                <c:pt idx="813">
                  <c:v>5.988802614002176E-3</c:v>
                </c:pt>
                <c:pt idx="814">
                  <c:v>7.4323390894845123E-3</c:v>
                </c:pt>
                <c:pt idx="815">
                  <c:v>4.2105608026115151E-4</c:v>
                </c:pt>
                <c:pt idx="816">
                  <c:v>9.7996040025433873E-3</c:v>
                </c:pt>
                <c:pt idx="817">
                  <c:v>-1.2392127321359235E-3</c:v>
                </c:pt>
                <c:pt idx="818">
                  <c:v>-2.3855515118706054E-3</c:v>
                </c:pt>
                <c:pt idx="819">
                  <c:v>-3.6360645182499104E-4</c:v>
                </c:pt>
                <c:pt idx="820">
                  <c:v>1.2892918498735822E-3</c:v>
                </c:pt>
                <c:pt idx="821">
                  <c:v>-3.7852882635684751E-3</c:v>
                </c:pt>
                <c:pt idx="822">
                  <c:v>8.9057100554239786E-3</c:v>
                </c:pt>
                <c:pt idx="823">
                  <c:v>-4.0476180718514044E-3</c:v>
                </c:pt>
                <c:pt idx="824">
                  <c:v>-1.3560256148274351E-2</c:v>
                </c:pt>
                <c:pt idx="825">
                  <c:v>-5.6516241445957781E-3</c:v>
                </c:pt>
                <c:pt idx="826">
                  <c:v>-1.0265808823608006E-2</c:v>
                </c:pt>
                <c:pt idx="827">
                  <c:v>-1.5322391854064712E-2</c:v>
                </c:pt>
                <c:pt idx="828">
                  <c:v>7.0108723942055237E-3</c:v>
                </c:pt>
                <c:pt idx="829">
                  <c:v>-1.0867483078192092E-3</c:v>
                </c:pt>
                <c:pt idx="830">
                  <c:v>9.4991671677012402E-4</c:v>
                </c:pt>
                <c:pt idx="831">
                  <c:v>2.6574959504618452E-3</c:v>
                </c:pt>
                <c:pt idx="832">
                  <c:v>-7.1010005853283714E-3</c:v>
                </c:pt>
                <c:pt idx="833">
                  <c:v>-4.229250767129392E-6</c:v>
                </c:pt>
                <c:pt idx="834">
                  <c:v>4.1403208063656048E-3</c:v>
                </c:pt>
                <c:pt idx="835">
                  <c:v>1.8599976460843735E-2</c:v>
                </c:pt>
                <c:pt idx="836">
                  <c:v>-7.6317874477081537E-3</c:v>
                </c:pt>
                <c:pt idx="837">
                  <c:v>-1.6325161807199819E-2</c:v>
                </c:pt>
                <c:pt idx="838">
                  <c:v>3.8817603067130878E-3</c:v>
                </c:pt>
                <c:pt idx="839">
                  <c:v>-7.9963124172743882E-4</c:v>
                </c:pt>
                <c:pt idx="840">
                  <c:v>-6.8812492953755225E-3</c:v>
                </c:pt>
                <c:pt idx="841">
                  <c:v>-4.0461744370668276E-3</c:v>
                </c:pt>
                <c:pt idx="842">
                  <c:v>-1.4857063581440453E-2</c:v>
                </c:pt>
                <c:pt idx="843">
                  <c:v>3.8952104933376291E-3</c:v>
                </c:pt>
                <c:pt idx="844">
                  <c:v>1.6016645210618786E-3</c:v>
                </c:pt>
                <c:pt idx="845">
                  <c:v>4.2385877535739327E-3</c:v>
                </c:pt>
                <c:pt idx="846">
                  <c:v>-4.6694699484325849E-3</c:v>
                </c:pt>
                <c:pt idx="847">
                  <c:v>6.0819192391741118E-3</c:v>
                </c:pt>
                <c:pt idx="848">
                  <c:v>-1.3806738277095545E-2</c:v>
                </c:pt>
                <c:pt idx="849">
                  <c:v>5.6604741870661156E-3</c:v>
                </c:pt>
                <c:pt idx="850">
                  <c:v>2.1570001913706685E-3</c:v>
                </c:pt>
                <c:pt idx="851">
                  <c:v>-4.8879573663295961E-3</c:v>
                </c:pt>
                <c:pt idx="852">
                  <c:v>-1.1456670033394137E-2</c:v>
                </c:pt>
                <c:pt idx="853">
                  <c:v>5.5955626228530505E-3</c:v>
                </c:pt>
                <c:pt idx="854">
                  <c:v>8.9267044567532539E-3</c:v>
                </c:pt>
                <c:pt idx="855">
                  <c:v>3.7231312102430775E-3</c:v>
                </c:pt>
                <c:pt idx="856">
                  <c:v>1.1074177663955638E-2</c:v>
                </c:pt>
                <c:pt idx="857">
                  <c:v>-1.1172460305538994E-3</c:v>
                </c:pt>
                <c:pt idx="858">
                  <c:v>-5.1704524791751734E-3</c:v>
                </c:pt>
                <c:pt idx="859">
                  <c:v>1.6059690853104273E-2</c:v>
                </c:pt>
                <c:pt idx="860">
                  <c:v>-1.8108786231885072E-3</c:v>
                </c:pt>
                <c:pt idx="861">
                  <c:v>-3.9302666996406553E-3</c:v>
                </c:pt>
                <c:pt idx="862">
                  <c:v>-1.8404145702315485E-3</c:v>
                </c:pt>
                <c:pt idx="863">
                  <c:v>-7.598848278210316E-3</c:v>
                </c:pt>
                <c:pt idx="864">
                  <c:v>-1.3338295712820561E-2</c:v>
                </c:pt>
                <c:pt idx="865">
                  <c:v>-1.1514180951839536E-3</c:v>
                </c:pt>
                <c:pt idx="866">
                  <c:v>-6.0117219533637628E-4</c:v>
                </c:pt>
                <c:pt idx="867">
                  <c:v>-4.4451141660866375E-3</c:v>
                </c:pt>
                <c:pt idx="868">
                  <c:v>1.318406118349223E-3</c:v>
                </c:pt>
                <c:pt idx="869">
                  <c:v>-6.1867170548291742E-4</c:v>
                </c:pt>
                <c:pt idx="870">
                  <c:v>-5.4056176144420191E-4</c:v>
                </c:pt>
                <c:pt idx="871">
                  <c:v>-8.615791860687675E-4</c:v>
                </c:pt>
                <c:pt idx="872">
                  <c:v>-5.1302863291465021E-3</c:v>
                </c:pt>
                <c:pt idx="873">
                  <c:v>-1.069708155537406E-2</c:v>
                </c:pt>
                <c:pt idx="874">
                  <c:v>-2.5720107722782741E-4</c:v>
                </c:pt>
                <c:pt idx="875">
                  <c:v>-1.108829387776427E-4</c:v>
                </c:pt>
                <c:pt idx="876">
                  <c:v>-1.8820898177206152E-2</c:v>
                </c:pt>
                <c:pt idx="877">
                  <c:v>-2.4410089624874701E-4</c:v>
                </c:pt>
                <c:pt idx="878">
                  <c:v>-1.6582982605433554E-3</c:v>
                </c:pt>
                <c:pt idx="879">
                  <c:v>1.1465694568782813E-2</c:v>
                </c:pt>
                <c:pt idx="880">
                  <c:v>9.2420781725971422E-3</c:v>
                </c:pt>
                <c:pt idx="881">
                  <c:v>3.4591948403792664E-4</c:v>
                </c:pt>
                <c:pt idx="882">
                  <c:v>-4.0966182483126905E-3</c:v>
                </c:pt>
                <c:pt idx="883">
                  <c:v>1.6726652208703832E-3</c:v>
                </c:pt>
                <c:pt idx="884">
                  <c:v>-1.2186336801356743E-3</c:v>
                </c:pt>
                <c:pt idx="885">
                  <c:v>-3.2673867932358361E-3</c:v>
                </c:pt>
                <c:pt idx="886">
                  <c:v>4.9681714537350846E-3</c:v>
                </c:pt>
                <c:pt idx="887">
                  <c:v>1.4359668968781786E-2</c:v>
                </c:pt>
                <c:pt idx="888">
                  <c:v>3.2049417598595076E-3</c:v>
                </c:pt>
                <c:pt idx="889">
                  <c:v>1.228044696739064E-2</c:v>
                </c:pt>
                <c:pt idx="890">
                  <c:v>6.8649343915537933E-3</c:v>
                </c:pt>
                <c:pt idx="891">
                  <c:v>1.310200357491904E-2</c:v>
                </c:pt>
                <c:pt idx="892">
                  <c:v>4.3526951476421065E-4</c:v>
                </c:pt>
                <c:pt idx="893">
                  <c:v>-7.710697617041672E-3</c:v>
                </c:pt>
                <c:pt idx="894">
                  <c:v>4.4648620864278519E-3</c:v>
                </c:pt>
                <c:pt idx="895">
                  <c:v>-3.0820655541120134E-3</c:v>
                </c:pt>
                <c:pt idx="896">
                  <c:v>-1.5150750180769317E-2</c:v>
                </c:pt>
                <c:pt idx="897">
                  <c:v>7.1680732227189349E-3</c:v>
                </c:pt>
                <c:pt idx="898">
                  <c:v>-3.5313765366867989E-3</c:v>
                </c:pt>
                <c:pt idx="899">
                  <c:v>-1.4978218273382259E-2</c:v>
                </c:pt>
                <c:pt idx="900">
                  <c:v>-3.2970153387305259E-2</c:v>
                </c:pt>
                <c:pt idx="901">
                  <c:v>1.6746313096183522E-2</c:v>
                </c:pt>
                <c:pt idx="902">
                  <c:v>-6.0843628224417504E-3</c:v>
                </c:pt>
                <c:pt idx="903">
                  <c:v>1.8988933890639957E-2</c:v>
                </c:pt>
                <c:pt idx="904">
                  <c:v>2.16659867627985E-2</c:v>
                </c:pt>
                <c:pt idx="905">
                  <c:v>4.6465712828317922E-3</c:v>
                </c:pt>
                <c:pt idx="906">
                  <c:v>1.7528893682587383E-2</c:v>
                </c:pt>
                <c:pt idx="907">
                  <c:v>1.1418047561345738E-2</c:v>
                </c:pt>
                <c:pt idx="908">
                  <c:v>1.726965939596701E-3</c:v>
                </c:pt>
                <c:pt idx="909">
                  <c:v>6.6685884351257562E-3</c:v>
                </c:pt>
                <c:pt idx="910">
                  <c:v>-3.386473618159028E-3</c:v>
                </c:pt>
                <c:pt idx="911">
                  <c:v>-8.588454617289994E-3</c:v>
                </c:pt>
                <c:pt idx="912">
                  <c:v>1.1956431581801425E-2</c:v>
                </c:pt>
                <c:pt idx="913">
                  <c:v>3.0617833174725629E-4</c:v>
                </c:pt>
                <c:pt idx="914">
                  <c:v>-7.1912661076828911E-5</c:v>
                </c:pt>
                <c:pt idx="915">
                  <c:v>5.1354844609369319E-4</c:v>
                </c:pt>
                <c:pt idx="916">
                  <c:v>4.6898279589179014E-3</c:v>
                </c:pt>
                <c:pt idx="917">
                  <c:v>-3.3394276617622325E-3</c:v>
                </c:pt>
                <c:pt idx="918">
                  <c:v>1.4264051276974533E-3</c:v>
                </c:pt>
                <c:pt idx="919">
                  <c:v>-5.7755427734603581E-3</c:v>
                </c:pt>
                <c:pt idx="920">
                  <c:v>-1.1010471243807775E-2</c:v>
                </c:pt>
                <c:pt idx="921">
                  <c:v>3.7472171529076455E-2</c:v>
                </c:pt>
                <c:pt idx="922">
                  <c:v>-1.3993305528556882E-2</c:v>
                </c:pt>
                <c:pt idx="923">
                  <c:v>3.5962898121936287E-3</c:v>
                </c:pt>
                <c:pt idx="924">
                  <c:v>1.5894480888894447E-2</c:v>
                </c:pt>
                <c:pt idx="925">
                  <c:v>-1.6892334379733957E-3</c:v>
                </c:pt>
                <c:pt idx="926">
                  <c:v>-2.976070564100508E-3</c:v>
                </c:pt>
                <c:pt idx="927">
                  <c:v>-1.0540231594245037E-2</c:v>
                </c:pt>
                <c:pt idx="928">
                  <c:v>5.2346356247726386E-3</c:v>
                </c:pt>
                <c:pt idx="929">
                  <c:v>-8.2451707060623922E-3</c:v>
                </c:pt>
                <c:pt idx="930">
                  <c:v>9.8438309105117507E-3</c:v>
                </c:pt>
                <c:pt idx="931">
                  <c:v>5.9373187376564407E-3</c:v>
                </c:pt>
                <c:pt idx="932">
                  <c:v>-7.0222766786781181E-3</c:v>
                </c:pt>
                <c:pt idx="933">
                  <c:v>-2.9750731170425774E-3</c:v>
                </c:pt>
                <c:pt idx="934">
                  <c:v>3.2731009002705618E-3</c:v>
                </c:pt>
                <c:pt idx="935">
                  <c:v>-3.3438034717525197E-3</c:v>
                </c:pt>
                <c:pt idx="936">
                  <c:v>-1.3786887661705169E-3</c:v>
                </c:pt>
                <c:pt idx="937">
                  <c:v>-7.0687740923206172E-3</c:v>
                </c:pt>
                <c:pt idx="938">
                  <c:v>3.1609356156210005E-3</c:v>
                </c:pt>
                <c:pt idx="939">
                  <c:v>5.2946077897617046E-3</c:v>
                </c:pt>
                <c:pt idx="940">
                  <c:v>1.0135965436883998E-2</c:v>
                </c:pt>
                <c:pt idx="941">
                  <c:v>3.9975106246084267E-3</c:v>
                </c:pt>
                <c:pt idx="942">
                  <c:v>4.1826462015294284E-5</c:v>
                </c:pt>
                <c:pt idx="943">
                  <c:v>1.4787352445249067E-3</c:v>
                </c:pt>
                <c:pt idx="944">
                  <c:v>-1.0122094193621185E-2</c:v>
                </c:pt>
                <c:pt idx="945">
                  <c:v>-6.8377988828330826E-3</c:v>
                </c:pt>
                <c:pt idx="946">
                  <c:v>9.177535114667245E-3</c:v>
                </c:pt>
                <c:pt idx="947">
                  <c:v>-3.7389676871053394E-3</c:v>
                </c:pt>
                <c:pt idx="948">
                  <c:v>-1.6651418462635466E-3</c:v>
                </c:pt>
                <c:pt idx="949">
                  <c:v>-7.5798355821293751E-4</c:v>
                </c:pt>
                <c:pt idx="950">
                  <c:v>1.2790309347901757E-2</c:v>
                </c:pt>
                <c:pt idx="951">
                  <c:v>-5.610555346030624E-3</c:v>
                </c:pt>
                <c:pt idx="952">
                  <c:v>2.8970604822426802E-3</c:v>
                </c:pt>
                <c:pt idx="953">
                  <c:v>7.969960122065977E-3</c:v>
                </c:pt>
                <c:pt idx="954">
                  <c:v>1.1979963629751521E-2</c:v>
                </c:pt>
                <c:pt idx="955">
                  <c:v>3.4696479984903748E-3</c:v>
                </c:pt>
                <c:pt idx="956">
                  <c:v>-4.7209687553906882E-3</c:v>
                </c:pt>
                <c:pt idx="957">
                  <c:v>9.6946961940914944E-4</c:v>
                </c:pt>
                <c:pt idx="958">
                  <c:v>-3.4669964446766102E-3</c:v>
                </c:pt>
                <c:pt idx="959">
                  <c:v>-1.8915156833006601E-3</c:v>
                </c:pt>
                <c:pt idx="960">
                  <c:v>2.1900559806014813E-3</c:v>
                </c:pt>
                <c:pt idx="961">
                  <c:v>1.1782657107136236E-5</c:v>
                </c:pt>
                <c:pt idx="962">
                  <c:v>2.4007637482767337E-3</c:v>
                </c:pt>
                <c:pt idx="963">
                  <c:v>-1.8196582966253595E-3</c:v>
                </c:pt>
                <c:pt idx="964">
                  <c:v>-4.7549485778671007E-3</c:v>
                </c:pt>
                <c:pt idx="965">
                  <c:v>-8.1338768732905544E-3</c:v>
                </c:pt>
                <c:pt idx="966">
                  <c:v>-2.6895142142431107E-3</c:v>
                </c:pt>
                <c:pt idx="967">
                  <c:v>4.5148958612713751E-3</c:v>
                </c:pt>
                <c:pt idx="968">
                  <c:v>6.4474087122986417E-4</c:v>
                </c:pt>
                <c:pt idx="969">
                  <c:v>-3.9981374112852634E-3</c:v>
                </c:pt>
                <c:pt idx="970">
                  <c:v>-5.7128920738239268E-3</c:v>
                </c:pt>
                <c:pt idx="971">
                  <c:v>4.8862342043243081E-3</c:v>
                </c:pt>
                <c:pt idx="972">
                  <c:v>-1.1883969208231818E-3</c:v>
                </c:pt>
                <c:pt idx="973">
                  <c:v>6.3245027919540961E-3</c:v>
                </c:pt>
                <c:pt idx="974">
                  <c:v>-6.2766205821811125E-3</c:v>
                </c:pt>
                <c:pt idx="975">
                  <c:v>-9.0222680148949828E-3</c:v>
                </c:pt>
                <c:pt idx="976">
                  <c:v>-6.3048116777717281E-3</c:v>
                </c:pt>
                <c:pt idx="977">
                  <c:v>5.6644327448940367E-3</c:v>
                </c:pt>
                <c:pt idx="978">
                  <c:v>1.3668533203841048E-3</c:v>
                </c:pt>
                <c:pt idx="979">
                  <c:v>-3.4943227678611022E-3</c:v>
                </c:pt>
                <c:pt idx="980">
                  <c:v>-8.2297150116146193E-3</c:v>
                </c:pt>
                <c:pt idx="981">
                  <c:v>6.3869589240010231E-3</c:v>
                </c:pt>
                <c:pt idx="982">
                  <c:v>-2.9652276128395885E-3</c:v>
                </c:pt>
                <c:pt idx="983">
                  <c:v>-3.0615326485490348E-3</c:v>
                </c:pt>
                <c:pt idx="984">
                  <c:v>8.9281452981572603E-4</c:v>
                </c:pt>
                <c:pt idx="985">
                  <c:v>-9.5120249782038261E-3</c:v>
                </c:pt>
                <c:pt idx="986">
                  <c:v>9.0606329752241262E-3</c:v>
                </c:pt>
                <c:pt idx="987">
                  <c:v>-3.9798350761185517E-3</c:v>
                </c:pt>
                <c:pt idx="988">
                  <c:v>5.3740195618916181E-3</c:v>
                </c:pt>
                <c:pt idx="989">
                  <c:v>4.8527279272500415E-4</c:v>
                </c:pt>
                <c:pt idx="990">
                  <c:v>9.9236800312108801E-3</c:v>
                </c:pt>
                <c:pt idx="991">
                  <c:v>4.1598532435831309E-3</c:v>
                </c:pt>
                <c:pt idx="992">
                  <c:v>2.7942582021172405E-3</c:v>
                </c:pt>
                <c:pt idx="993">
                  <c:v>1.324442740923701E-3</c:v>
                </c:pt>
                <c:pt idx="994">
                  <c:v>-8.5539474026356463E-3</c:v>
                </c:pt>
                <c:pt idx="995">
                  <c:v>3.9187133859900506E-3</c:v>
                </c:pt>
                <c:pt idx="996">
                  <c:v>-1.0294013179196964E-2</c:v>
                </c:pt>
                <c:pt idx="997">
                  <c:v>-8.5811273528911703E-3</c:v>
                </c:pt>
                <c:pt idx="998">
                  <c:v>-3.0269144417419749E-3</c:v>
                </c:pt>
                <c:pt idx="999">
                  <c:v>8.0812803848293591E-3</c:v>
                </c:pt>
                <c:pt idx="1000">
                  <c:v>-1.8473869004707994E-3</c:v>
                </c:pt>
                <c:pt idx="1001">
                  <c:v>5.495539207320317E-3</c:v>
                </c:pt>
                <c:pt idx="1002">
                  <c:v>7.7857447964071113E-4</c:v>
                </c:pt>
                <c:pt idx="1003">
                  <c:v>2.708422198937796E-4</c:v>
                </c:pt>
                <c:pt idx="1004">
                  <c:v>1.2986188601915426E-3</c:v>
                </c:pt>
                <c:pt idx="1005">
                  <c:v>3.8455581291435849E-3</c:v>
                </c:pt>
                <c:pt idx="1006">
                  <c:v>4.1932820559463261E-3</c:v>
                </c:pt>
                <c:pt idx="1007">
                  <c:v>1.2965551071398326E-3</c:v>
                </c:pt>
                <c:pt idx="1008">
                  <c:v>4.3296588950226811E-3</c:v>
                </c:pt>
                <c:pt idx="1009">
                  <c:v>-1.7854585559052094E-3</c:v>
                </c:pt>
                <c:pt idx="1010">
                  <c:v>6.7543783401827241E-3</c:v>
                </c:pt>
                <c:pt idx="1011">
                  <c:v>3.6049543335288465E-3</c:v>
                </c:pt>
                <c:pt idx="1012">
                  <c:v>3.6785428205012871E-3</c:v>
                </c:pt>
                <c:pt idx="1013">
                  <c:v>-3.8048819662613634E-3</c:v>
                </c:pt>
                <c:pt idx="1014">
                  <c:v>-4.9357504010677988E-3</c:v>
                </c:pt>
                <c:pt idx="1015">
                  <c:v>-1.3043001063899793E-3</c:v>
                </c:pt>
                <c:pt idx="1016">
                  <c:v>-4.48370532782927E-3</c:v>
                </c:pt>
                <c:pt idx="1017">
                  <c:v>-6.6489726459885842E-3</c:v>
                </c:pt>
                <c:pt idx="1018">
                  <c:v>-9.5327143727411273E-3</c:v>
                </c:pt>
                <c:pt idx="1019">
                  <c:v>-8.0341496238696723E-4</c:v>
                </c:pt>
                <c:pt idx="1020">
                  <c:v>-9.6657604081426692E-4</c:v>
                </c:pt>
                <c:pt idx="1021">
                  <c:v>9.1087319879058007E-3</c:v>
                </c:pt>
                <c:pt idx="1022">
                  <c:v>2.3305604393949906E-3</c:v>
                </c:pt>
                <c:pt idx="1023">
                  <c:v>7.3401581061951155E-3</c:v>
                </c:pt>
                <c:pt idx="1024">
                  <c:v>1.2214575517932756E-3</c:v>
                </c:pt>
                <c:pt idx="1025">
                  <c:v>-2.4783456627061593E-3</c:v>
                </c:pt>
                <c:pt idx="1026">
                  <c:v>5.401388262863396E-3</c:v>
                </c:pt>
                <c:pt idx="1027">
                  <c:v>4.1036652680295424E-3</c:v>
                </c:pt>
                <c:pt idx="1028">
                  <c:v>-2.2964531885856635E-3</c:v>
                </c:pt>
                <c:pt idx="1029">
                  <c:v>-3.2497693513395339E-3</c:v>
                </c:pt>
                <c:pt idx="1030">
                  <c:v>7.0558387242180077E-3</c:v>
                </c:pt>
                <c:pt idx="1031">
                  <c:v>1.0283174989422342E-2</c:v>
                </c:pt>
                <c:pt idx="1032">
                  <c:v>4.8562191462695678E-3</c:v>
                </c:pt>
                <c:pt idx="1033">
                  <c:v>5.1713885544162376E-3</c:v>
                </c:pt>
                <c:pt idx="1034">
                  <c:v>9.8430248656327583E-4</c:v>
                </c:pt>
                <c:pt idx="1035">
                  <c:v>8.8098923781576393E-4</c:v>
                </c:pt>
                <c:pt idx="1036">
                  <c:v>-3.7243774737084727E-3</c:v>
                </c:pt>
                <c:pt idx="1037">
                  <c:v>6.603425771068816E-3</c:v>
                </c:pt>
                <c:pt idx="1038">
                  <c:v>-1.1502392783005436E-3</c:v>
                </c:pt>
                <c:pt idx="1039">
                  <c:v>4.5277928328536733E-3</c:v>
                </c:pt>
                <c:pt idx="1040">
                  <c:v>-6.7800786382074861E-3</c:v>
                </c:pt>
                <c:pt idx="1041">
                  <c:v>-6.0368458886522298E-3</c:v>
                </c:pt>
                <c:pt idx="1042">
                  <c:v>1.6023948057699113E-3</c:v>
                </c:pt>
                <c:pt idx="1043">
                  <c:v>-6.4523889677539662E-3</c:v>
                </c:pt>
                <c:pt idx="1044">
                  <c:v>-3.4417784064369639E-3</c:v>
                </c:pt>
                <c:pt idx="1045">
                  <c:v>-6.8232620975946482E-4</c:v>
                </c:pt>
                <c:pt idx="1046">
                  <c:v>3.2134502892125225E-3</c:v>
                </c:pt>
                <c:pt idx="1047">
                  <c:v>4.7045784684853244E-3</c:v>
                </c:pt>
                <c:pt idx="1048">
                  <c:v>7.0136944435542489E-3</c:v>
                </c:pt>
                <c:pt idx="1049">
                  <c:v>1.2945621644613778E-4</c:v>
                </c:pt>
                <c:pt idx="1050">
                  <c:v>1.193299130579461E-3</c:v>
                </c:pt>
                <c:pt idx="1051">
                  <c:v>3.9827876272855566E-3</c:v>
                </c:pt>
                <c:pt idx="1052">
                  <c:v>-3.9827876272854204E-3</c:v>
                </c:pt>
                <c:pt idx="1053">
                  <c:v>5.488566143699687E-3</c:v>
                </c:pt>
                <c:pt idx="1054">
                  <c:v>5.3402570791968307E-3</c:v>
                </c:pt>
                <c:pt idx="1055">
                  <c:v>-4.7454849169532316E-3</c:v>
                </c:pt>
                <c:pt idx="1056">
                  <c:v>-4.1766313851615104E-3</c:v>
                </c:pt>
                <c:pt idx="1057">
                  <c:v>-2.8817074082925676E-3</c:v>
                </c:pt>
                <c:pt idx="1058">
                  <c:v>1.2305756544011975E-2</c:v>
                </c:pt>
                <c:pt idx="1059">
                  <c:v>3.9106577366173836E-4</c:v>
                </c:pt>
                <c:pt idx="1060">
                  <c:v>-4.8074631066023429E-4</c:v>
                </c:pt>
                <c:pt idx="1061">
                  <c:v>-1.0385902072783048E-3</c:v>
                </c:pt>
                <c:pt idx="1062">
                  <c:v>-5.4991763421880138E-3</c:v>
                </c:pt>
                <c:pt idx="1063">
                  <c:v>-1.7763018384990476E-3</c:v>
                </c:pt>
                <c:pt idx="1064">
                  <c:v>1.8358417105443499E-3</c:v>
                </c:pt>
                <c:pt idx="1065">
                  <c:v>5.8483282420290989E-3</c:v>
                </c:pt>
                <c:pt idx="1066">
                  <c:v>-8.6640233609803375E-3</c:v>
                </c:pt>
                <c:pt idx="1067">
                  <c:v>-4.6679441211103243E-3</c:v>
                </c:pt>
                <c:pt idx="1068">
                  <c:v>-3.1648754605488705E-3</c:v>
                </c:pt>
                <c:pt idx="1069">
                  <c:v>5.441724111835208E-3</c:v>
                </c:pt>
                <c:pt idx="1070">
                  <c:v>5.7136962287779947E-3</c:v>
                </c:pt>
                <c:pt idx="1071">
                  <c:v>-7.5469165403843695E-4</c:v>
                </c:pt>
                <c:pt idx="1072">
                  <c:v>-6.4447468447940094E-3</c:v>
                </c:pt>
                <c:pt idx="1073">
                  <c:v>-1.6080144877245483E-3</c:v>
                </c:pt>
                <c:pt idx="1074">
                  <c:v>-1.1620227730800423E-4</c:v>
                </c:pt>
                <c:pt idx="1075">
                  <c:v>5.8263710322537339E-3</c:v>
                </c:pt>
                <c:pt idx="1076">
                  <c:v>7.9020258203139574E-3</c:v>
                </c:pt>
                <c:pt idx="1077">
                  <c:v>1.8147242958299996E-4</c:v>
                </c:pt>
                <c:pt idx="1078">
                  <c:v>-1.3398512113031755E-3</c:v>
                </c:pt>
                <c:pt idx="1079">
                  <c:v>-3.8249025253447363E-3</c:v>
                </c:pt>
                <c:pt idx="1080">
                  <c:v>-3.8550074287673655E-3</c:v>
                </c:pt>
                <c:pt idx="1081">
                  <c:v>-1.2528683473419944E-4</c:v>
                </c:pt>
                <c:pt idx="1082">
                  <c:v>7.3269265111137747E-3</c:v>
                </c:pt>
                <c:pt idx="1083">
                  <c:v>6.4847930056033236E-4</c:v>
                </c:pt>
                <c:pt idx="1084">
                  <c:v>6.9366510888350273E-3</c:v>
                </c:pt>
                <c:pt idx="1085">
                  <c:v>-2.9764841859812588E-3</c:v>
                </c:pt>
                <c:pt idx="1086">
                  <c:v>-2.7313145210397867E-3</c:v>
                </c:pt>
                <c:pt idx="1087">
                  <c:v>-1.4507035779470466E-3</c:v>
                </c:pt>
                <c:pt idx="1088">
                  <c:v>-1.0146652830525118E-2</c:v>
                </c:pt>
                <c:pt idx="1089">
                  <c:v>-7.5077713756043106E-3</c:v>
                </c:pt>
                <c:pt idx="1090">
                  <c:v>4.1555382873515179E-3</c:v>
                </c:pt>
                <c:pt idx="1091">
                  <c:v>-2.2495014100358751E-3</c:v>
                </c:pt>
                <c:pt idx="1092">
                  <c:v>-2.5954382355152226E-3</c:v>
                </c:pt>
                <c:pt idx="1093">
                  <c:v>1.1195494934444548E-3</c:v>
                </c:pt>
                <c:pt idx="1094">
                  <c:v>-4.245338606983875E-3</c:v>
                </c:pt>
                <c:pt idx="1095">
                  <c:v>-1.3892938636022806E-2</c:v>
                </c:pt>
                <c:pt idx="1096">
                  <c:v>-2.9767833055262707E-3</c:v>
                </c:pt>
                <c:pt idx="1097">
                  <c:v>5.2490437166370345E-3</c:v>
                </c:pt>
                <c:pt idx="1098">
                  <c:v>-9.5851726789207992E-3</c:v>
                </c:pt>
                <c:pt idx="1099">
                  <c:v>5.0473933938835411E-3</c:v>
                </c:pt>
                <c:pt idx="1100">
                  <c:v>6.6253658203434609E-3</c:v>
                </c:pt>
                <c:pt idx="1101">
                  <c:v>3.0002987343345821E-3</c:v>
                </c:pt>
                <c:pt idx="1102">
                  <c:v>-3.8727234591551612E-3</c:v>
                </c:pt>
                <c:pt idx="1103">
                  <c:v>-1.9750931697309907E-2</c:v>
                </c:pt>
                <c:pt idx="1104">
                  <c:v>1.0536251263282424E-2</c:v>
                </c:pt>
                <c:pt idx="1105">
                  <c:v>2.5156814253504294E-2</c:v>
                </c:pt>
                <c:pt idx="1106">
                  <c:v>1.8814242626680484E-3</c:v>
                </c:pt>
                <c:pt idx="1107">
                  <c:v>-5.180995976337489E-3</c:v>
                </c:pt>
                <c:pt idx="1108">
                  <c:v>1.9829952053364128E-3</c:v>
                </c:pt>
                <c:pt idx="1109">
                  <c:v>6.7337970937869094E-3</c:v>
                </c:pt>
                <c:pt idx="1110">
                  <c:v>2.6195687192277595E-3</c:v>
                </c:pt>
                <c:pt idx="1111">
                  <c:v>7.2076936574473247E-4</c:v>
                </c:pt>
                <c:pt idx="1112">
                  <c:v>-5.6664380800878688E-3</c:v>
                </c:pt>
                <c:pt idx="1113">
                  <c:v>-1.3109046639111787E-2</c:v>
                </c:pt>
                <c:pt idx="1114">
                  <c:v>8.2750841925694364E-3</c:v>
                </c:pt>
                <c:pt idx="1115">
                  <c:v>1.6592703602544172E-3</c:v>
                </c:pt>
                <c:pt idx="1116">
                  <c:v>3.6453801421163674E-3</c:v>
                </c:pt>
                <c:pt idx="1117">
                  <c:v>-1.4237559048147537E-2</c:v>
                </c:pt>
                <c:pt idx="1118">
                  <c:v>4.5820217508651916E-3</c:v>
                </c:pt>
                <c:pt idx="1119">
                  <c:v>5.5280270640200302E-3</c:v>
                </c:pt>
                <c:pt idx="1120">
                  <c:v>-1.1277524723351435E-2</c:v>
                </c:pt>
                <c:pt idx="1121">
                  <c:v>2.2727661989268987E-3</c:v>
                </c:pt>
                <c:pt idx="1122">
                  <c:v>5.5120683322783769E-4</c:v>
                </c:pt>
                <c:pt idx="1123">
                  <c:v>-1.2546735694086916E-2</c:v>
                </c:pt>
                <c:pt idx="1124">
                  <c:v>-1.2507069408217645E-2</c:v>
                </c:pt>
                <c:pt idx="1125">
                  <c:v>-1.56124615192116E-2</c:v>
                </c:pt>
                <c:pt idx="1126">
                  <c:v>1.159082471886308E-2</c:v>
                </c:pt>
                <c:pt idx="1127">
                  <c:v>-1.2819086331517163E-2</c:v>
                </c:pt>
                <c:pt idx="1128">
                  <c:v>-1.7426722768128327E-2</c:v>
                </c:pt>
                <c:pt idx="1129">
                  <c:v>9.6729556344604898E-3</c:v>
                </c:pt>
                <c:pt idx="1130">
                  <c:v>-1.6404386692587491E-2</c:v>
                </c:pt>
                <c:pt idx="1131">
                  <c:v>-9.5862309485363565E-3</c:v>
                </c:pt>
                <c:pt idx="1132">
                  <c:v>-2.0861940282608349E-2</c:v>
                </c:pt>
                <c:pt idx="1133">
                  <c:v>1.1069724441647895E-2</c:v>
                </c:pt>
                <c:pt idx="1134">
                  <c:v>7.3356440204539039E-3</c:v>
                </c:pt>
                <c:pt idx="1135">
                  <c:v>8.3047082004444207E-3</c:v>
                </c:pt>
                <c:pt idx="1136">
                  <c:v>-3.3164682443435636E-2</c:v>
                </c:pt>
                <c:pt idx="1137">
                  <c:v>4.8724364094799378E-3</c:v>
                </c:pt>
                <c:pt idx="1138">
                  <c:v>-2.6382752785782303E-2</c:v>
                </c:pt>
                <c:pt idx="1139">
                  <c:v>1.7600875281506459E-2</c:v>
                </c:pt>
                <c:pt idx="1140">
                  <c:v>1.7051897570883399E-2</c:v>
                </c:pt>
                <c:pt idx="1141">
                  <c:v>-2.1110330500768722E-2</c:v>
                </c:pt>
                <c:pt idx="1142">
                  <c:v>-2.1626055984993561E-2</c:v>
                </c:pt>
                <c:pt idx="1143">
                  <c:v>1.5463263671631812E-2</c:v>
                </c:pt>
                <c:pt idx="1144">
                  <c:v>1.4848270613675759E-3</c:v>
                </c:pt>
                <c:pt idx="1145">
                  <c:v>1.1170976924161889E-2</c:v>
                </c:pt>
                <c:pt idx="1146">
                  <c:v>6.7430758473412617E-3</c:v>
                </c:pt>
                <c:pt idx="1147">
                  <c:v>3.7087504268883312E-2</c:v>
                </c:pt>
                <c:pt idx="1148">
                  <c:v>-9.3045930634583808E-3</c:v>
                </c:pt>
                <c:pt idx="1149">
                  <c:v>1.1521129744069802E-2</c:v>
                </c:pt>
                <c:pt idx="1150">
                  <c:v>-8.6839505278128153E-3</c:v>
                </c:pt>
                <c:pt idx="1151">
                  <c:v>1.6169192148386771E-2</c:v>
                </c:pt>
                <c:pt idx="1152">
                  <c:v>-1.4268592628351902E-3</c:v>
                </c:pt>
                <c:pt idx="1153">
                  <c:v>6.4593028333434733E-3</c:v>
                </c:pt>
                <c:pt idx="1154">
                  <c:v>4.6389044807052763E-4</c:v>
                </c:pt>
                <c:pt idx="1155">
                  <c:v>8.6532508250691514E-3</c:v>
                </c:pt>
                <c:pt idx="1156">
                  <c:v>-8.1095824452783096E-3</c:v>
                </c:pt>
                <c:pt idx="1157">
                  <c:v>-8.4468120391927026E-3</c:v>
                </c:pt>
                <c:pt idx="1158">
                  <c:v>-1.1445695045189528E-2</c:v>
                </c:pt>
                <c:pt idx="1159">
                  <c:v>8.1162088473576682E-3</c:v>
                </c:pt>
                <c:pt idx="1160">
                  <c:v>-4.0342424184259592E-3</c:v>
                </c:pt>
                <c:pt idx="1161">
                  <c:v>7.5540050761180024E-3</c:v>
                </c:pt>
                <c:pt idx="1162">
                  <c:v>-7.476910901378273E-3</c:v>
                </c:pt>
                <c:pt idx="1163">
                  <c:v>5.0606080752246428E-3</c:v>
                </c:pt>
                <c:pt idx="1164">
                  <c:v>-3.59278590325008E-3</c:v>
                </c:pt>
                <c:pt idx="1165">
                  <c:v>1.2329638502128454E-2</c:v>
                </c:pt>
                <c:pt idx="1166">
                  <c:v>-1.7674525711061125E-4</c:v>
                </c:pt>
                <c:pt idx="1167">
                  <c:v>-6.2058472092796453E-3</c:v>
                </c:pt>
                <c:pt idx="1168">
                  <c:v>-1.5015284604692003E-2</c:v>
                </c:pt>
                <c:pt idx="1169">
                  <c:v>-1.84896167679287E-2</c:v>
                </c:pt>
                <c:pt idx="1170">
                  <c:v>1.4126303448764603E-3</c:v>
                </c:pt>
                <c:pt idx="1171">
                  <c:v>1.1761794282919329E-2</c:v>
                </c:pt>
                <c:pt idx="1172">
                  <c:v>-1.9478975421618667E-3</c:v>
                </c:pt>
                <c:pt idx="1173">
                  <c:v>2.7276504632216535E-4</c:v>
                </c:pt>
                <c:pt idx="1174">
                  <c:v>-1.3518675917124454E-3</c:v>
                </c:pt>
                <c:pt idx="1175">
                  <c:v>1.7344590510618102E-3</c:v>
                </c:pt>
                <c:pt idx="1176">
                  <c:v>-1.8176553564142739E-4</c:v>
                </c:pt>
                <c:pt idx="1177">
                  <c:v>2.7272360383433312E-3</c:v>
                </c:pt>
                <c:pt idx="1178">
                  <c:v>1.3084729415427099E-2</c:v>
                </c:pt>
                <c:pt idx="1179">
                  <c:v>-4.9222756823281708E-3</c:v>
                </c:pt>
                <c:pt idx="1180">
                  <c:v>-2.7393908895215999E-4</c:v>
                </c:pt>
                <c:pt idx="1181">
                  <c:v>-1.514730288021764E-2</c:v>
                </c:pt>
                <c:pt idx="1182">
                  <c:v>-7.0381184766963537E-3</c:v>
                </c:pt>
                <c:pt idx="1183">
                  <c:v>4.3080200156337288E-3</c:v>
                </c:pt>
                <c:pt idx="1184">
                  <c:v>-3.3248660643112335E-3</c:v>
                </c:pt>
                <c:pt idx="1185">
                  <c:v>4.677273555198729E-4</c:v>
                </c:pt>
                <c:pt idx="1186">
                  <c:v>-2.1311054219877008E-3</c:v>
                </c:pt>
                <c:pt idx="1187">
                  <c:v>-1.0484138733110175E-2</c:v>
                </c:pt>
                <c:pt idx="1188">
                  <c:v>5.1374961753134028E-3</c:v>
                </c:pt>
                <c:pt idx="1189">
                  <c:v>-1.1688216574620206E-3</c:v>
                </c:pt>
                <c:pt idx="1190">
                  <c:v>-2.3007327424504793E-3</c:v>
                </c:pt>
                <c:pt idx="1191">
                  <c:v>1.9720845592834733E-2</c:v>
                </c:pt>
                <c:pt idx="1192">
                  <c:v>9.7311454385957067E-3</c:v>
                </c:pt>
                <c:pt idx="1193">
                  <c:v>5.6539188154709078E-3</c:v>
                </c:pt>
                <c:pt idx="1194">
                  <c:v>4.0166585983226755E-3</c:v>
                </c:pt>
                <c:pt idx="1195">
                  <c:v>3.4111406919150548E-3</c:v>
                </c:pt>
                <c:pt idx="1196">
                  <c:v>-6.4299293159206534E-3</c:v>
                </c:pt>
                <c:pt idx="1197">
                  <c:v>3.7326504390581355E-3</c:v>
                </c:pt>
                <c:pt idx="1198">
                  <c:v>-1.1634491826712961E-2</c:v>
                </c:pt>
                <c:pt idx="1199">
                  <c:v>8.2578336678393992E-3</c:v>
                </c:pt>
                <c:pt idx="1200">
                  <c:v>1.428938637593024E-3</c:v>
                </c:pt>
                <c:pt idx="1201">
                  <c:v>-4.572710289054184E-3</c:v>
                </c:pt>
                <c:pt idx="1202">
                  <c:v>-3.3673586575118332E-3</c:v>
                </c:pt>
                <c:pt idx="1203">
                  <c:v>5.8531739060789078E-3</c:v>
                </c:pt>
                <c:pt idx="1204">
                  <c:v>7.0504458069889546E-3</c:v>
                </c:pt>
                <c:pt idx="1205">
                  <c:v>3.9280453342234525E-3</c:v>
                </c:pt>
                <c:pt idx="1206">
                  <c:v>6.5501700276348719E-3</c:v>
                </c:pt>
                <c:pt idx="1207">
                  <c:v>-1.2963596233162159E-3</c:v>
                </c:pt>
                <c:pt idx="1208">
                  <c:v>-2.1402721455271209E-2</c:v>
                </c:pt>
                <c:pt idx="1209">
                  <c:v>3.37549711920856E-3</c:v>
                </c:pt>
                <c:pt idx="1210">
                  <c:v>1.0135088634260337E-2</c:v>
                </c:pt>
                <c:pt idx="1211">
                  <c:v>1.6935885322568231E-4</c:v>
                </c:pt>
                <c:pt idx="1212">
                  <c:v>-6.5868433383303275E-3</c:v>
                </c:pt>
                <c:pt idx="1213">
                  <c:v>1.0990941372017902E-3</c:v>
                </c:pt>
                <c:pt idx="1214">
                  <c:v>-2.3883076876853854E-4</c:v>
                </c:pt>
                <c:pt idx="1215">
                  <c:v>1.0806382345822582E-2</c:v>
                </c:pt>
                <c:pt idx="1216">
                  <c:v>-3.944599620345806E-3</c:v>
                </c:pt>
                <c:pt idx="1217">
                  <c:v>-2.0980386086102407E-3</c:v>
                </c:pt>
                <c:pt idx="1218">
                  <c:v>-7.9466713500223034E-3</c:v>
                </c:pt>
                <c:pt idx="1219">
                  <c:v>-5.291885365423704E-3</c:v>
                </c:pt>
                <c:pt idx="1220">
                  <c:v>-4.2886852384368098E-3</c:v>
                </c:pt>
                <c:pt idx="1221">
                  <c:v>9.5680685722803645E-3</c:v>
                </c:pt>
                <c:pt idx="1222">
                  <c:v>-4.4183880688715383E-4</c:v>
                </c:pt>
                <c:pt idx="1223">
                  <c:v>1.0981637470987526E-2</c:v>
                </c:pt>
                <c:pt idx="1224">
                  <c:v>2.7569979588118235E-3</c:v>
                </c:pt>
                <c:pt idx="1225">
                  <c:v>2.7289124392354969E-3</c:v>
                </c:pt>
                <c:pt idx="1226">
                  <c:v>1.5896050358084092E-2</c:v>
                </c:pt>
                <c:pt idx="1227">
                  <c:v>-6.4548748898602092E-3</c:v>
                </c:pt>
                <c:pt idx="1228">
                  <c:v>3.9602312074043145E-4</c:v>
                </c:pt>
                <c:pt idx="1229">
                  <c:v>4.6081406562213439E-4</c:v>
                </c:pt>
                <c:pt idx="1230">
                  <c:v>-2.6561466151820922E-3</c:v>
                </c:pt>
                <c:pt idx="1231">
                  <c:v>5.3504821287622976E-4</c:v>
                </c:pt>
                <c:pt idx="1232">
                  <c:v>-4.5703415571696762E-3</c:v>
                </c:pt>
                <c:pt idx="1233">
                  <c:v>-1.4619392412955027E-3</c:v>
                </c:pt>
                <c:pt idx="1234">
                  <c:v>-1.6423727576609119E-3</c:v>
                </c:pt>
                <c:pt idx="1235">
                  <c:v>-1.2243179341491939E-3</c:v>
                </c:pt>
                <c:pt idx="1236">
                  <c:v>-3.2207272312593169E-3</c:v>
                </c:pt>
                <c:pt idx="1237">
                  <c:v>-5.4807326327770307E-3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D-4D1C-A2BC-07BC4601D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9726223"/>
        <c:axId val="1294668399"/>
      </c:lineChart>
      <c:catAx>
        <c:axId val="1689726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68399"/>
        <c:crosses val="autoZero"/>
        <c:auto val="1"/>
        <c:lblAlgn val="ctr"/>
        <c:lblOffset val="100"/>
        <c:noMultiLvlLbl val="0"/>
      </c:catAx>
      <c:valAx>
        <c:axId val="129466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2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 Month (22 Trading Days) Price Path of NIFTY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Nifty Path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'NIFTY - Simple Naive Forecastin'!$B$1246:$B$1267</c:f>
              <c:strCache>
                <c:ptCount val="22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  <c:pt idx="21">
                  <c:v>Day 22</c:v>
                </c:pt>
              </c:strCache>
            </c:strRef>
          </c:cat>
          <c:val>
            <c:numRef>
              <c:f>'NIFTY - Simple Naive Forecastin'!$F$1246:$F$1267</c:f>
              <c:numCache>
                <c:formatCode>General</c:formatCode>
                <c:ptCount val="22"/>
                <c:pt idx="0">
                  <c:v>23924.477197814151</c:v>
                </c:pt>
                <c:pt idx="1">
                  <c:v>23815.383652720433</c:v>
                </c:pt>
                <c:pt idx="2">
                  <c:v>23860.232670134617</c:v>
                </c:pt>
                <c:pt idx="3">
                  <c:v>23821.077436551623</c:v>
                </c:pt>
                <c:pt idx="4">
                  <c:v>24018.60237338411</c:v>
                </c:pt>
                <c:pt idx="5">
                  <c:v>23860.915501827818</c:v>
                </c:pt>
                <c:pt idx="6">
                  <c:v>23981.97229564</c:v>
                </c:pt>
                <c:pt idx="7">
                  <c:v>24099.108067183752</c:v>
                </c:pt>
                <c:pt idx="8">
                  <c:v>23601.561848635745</c:v>
                </c:pt>
                <c:pt idx="9">
                  <c:v>23605.559320578843</c:v>
                </c:pt>
                <c:pt idx="10">
                  <c:v>23271.854980538861</c:v>
                </c:pt>
                <c:pt idx="11">
                  <c:v>22845.520823747938</c:v>
                </c:pt>
                <c:pt idx="12">
                  <c:v>22950.439683757962</c:v>
                </c:pt>
                <c:pt idx="13">
                  <c:v>23203.862041582353</c:v>
                </c:pt>
                <c:pt idx="14">
                  <c:v>23172.514685996885</c:v>
                </c:pt>
                <c:pt idx="15">
                  <c:v>23098.00239322631</c:v>
                </c:pt>
                <c:pt idx="16">
                  <c:v>22803.79685840047</c:v>
                </c:pt>
                <c:pt idx="17">
                  <c:v>22866.753625753725</c:v>
                </c:pt>
                <c:pt idx="18">
                  <c:v>22862.71239264977</c:v>
                </c:pt>
                <c:pt idx="19">
                  <c:v>22829.312916191771</c:v>
                </c:pt>
                <c:pt idx="20">
                  <c:v>23283.994891885995</c:v>
                </c:pt>
                <c:pt idx="21">
                  <c:v>23437.009606461535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DB-43DC-BADE-C80571E532EF}"/>
            </c:ext>
          </c:extLst>
        </c:ser>
        <c:ser>
          <c:idx val="1"/>
          <c:order val="1"/>
          <c:tx>
            <c:v>Nifty Path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'NIFTY - Simple Naive Forecastin'!$J$1246:$J$1267</c:f>
              <c:numCache>
                <c:formatCode>General</c:formatCode>
                <c:ptCount val="22"/>
                <c:pt idx="0">
                  <c:v>24220.906629271933</c:v>
                </c:pt>
                <c:pt idx="1">
                  <c:v>24214.272484893536</c:v>
                </c:pt>
                <c:pt idx="2">
                  <c:v>24136.410371736212</c:v>
                </c:pt>
                <c:pt idx="3">
                  <c:v>24125.748324601573</c:v>
                </c:pt>
                <c:pt idx="4">
                  <c:v>24215.969587143652</c:v>
                </c:pt>
                <c:pt idx="5">
                  <c:v>24426.42569748612</c:v>
                </c:pt>
                <c:pt idx="6">
                  <c:v>24468.829095470581</c:v>
                </c:pt>
                <c:pt idx="7">
                  <c:v>24458.020205286528</c:v>
                </c:pt>
                <c:pt idx="8">
                  <c:v>24504.079432805127</c:v>
                </c:pt>
                <c:pt idx="9">
                  <c:v>24684.493554427936</c:v>
                </c:pt>
                <c:pt idx="10">
                  <c:v>24730.979275482292</c:v>
                </c:pt>
                <c:pt idx="11">
                  <c:v>24618.149836860568</c:v>
                </c:pt>
                <c:pt idx="12">
                  <c:v>24659.031911036509</c:v>
                </c:pt>
                <c:pt idx="13">
                  <c:v>24628.859889871255</c:v>
                </c:pt>
                <c:pt idx="14">
                  <c:v>24348.572571733763</c:v>
                </c:pt>
                <c:pt idx="15">
                  <c:v>24359.795322054644</c:v>
                </c:pt>
                <c:pt idx="16">
                  <c:v>24443.031896246179</c:v>
                </c:pt>
                <c:pt idx="17">
                  <c:v>24323.012182128699</c:v>
                </c:pt>
                <c:pt idx="18">
                  <c:v>24525.848784483354</c:v>
                </c:pt>
                <c:pt idx="19">
                  <c:v>24291.861653034219</c:v>
                </c:pt>
                <c:pt idx="20">
                  <c:v>24257.225301698869</c:v>
                </c:pt>
                <c:pt idx="21">
                  <c:v>24384.887296330489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DB-43DC-BADE-C80571E53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755423"/>
        <c:axId val="1294622319"/>
      </c:lineChart>
      <c:catAx>
        <c:axId val="169275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22319"/>
        <c:crosses val="autoZero"/>
        <c:auto val="1"/>
        <c:lblAlgn val="ctr"/>
        <c:lblOffset val="100"/>
        <c:noMultiLvlLbl val="0"/>
      </c:catAx>
      <c:valAx>
        <c:axId val="129462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75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'NIFTY-Scientific, OPTION PRICIN'!$J$1</c:f>
              <c:strCache>
                <c:ptCount val="1"/>
                <c:pt idx="0">
                  <c:v>Path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PRICIN'!$J$2:$J$24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24461.426645983698</c:v>
                </c:pt>
                <c:pt idx="2">
                  <c:v>24629.255374890592</c:v>
                </c:pt>
                <c:pt idx="3">
                  <c:v>24850.402739506168</c:v>
                </c:pt>
                <c:pt idx="4">
                  <c:v>24822.301242148387</c:v>
                </c:pt>
                <c:pt idx="5">
                  <c:v>24858.347775618182</c:v>
                </c:pt>
                <c:pt idx="6">
                  <c:v>24775.577273044339</c:v>
                </c:pt>
                <c:pt idx="7">
                  <c:v>24316.48501330657</c:v>
                </c:pt>
                <c:pt idx="8">
                  <c:v>24810.943649124994</c:v>
                </c:pt>
                <c:pt idx="9">
                  <c:v>24818.607186134774</c:v>
                </c:pt>
                <c:pt idx="10">
                  <c:v>24815.94732132951</c:v>
                </c:pt>
                <c:pt idx="11">
                  <c:v>24806.771167770767</c:v>
                </c:pt>
                <c:pt idx="12">
                  <c:v>24406.2531222773</c:v>
                </c:pt>
                <c:pt idx="13">
                  <c:v>24367.177968661617</c:v>
                </c:pt>
                <c:pt idx="14">
                  <c:v>24256.456438122073</c:v>
                </c:pt>
                <c:pt idx="15">
                  <c:v>24364.820838895659</c:v>
                </c:pt>
                <c:pt idx="16">
                  <c:v>24426.255952308078</c:v>
                </c:pt>
                <c:pt idx="17">
                  <c:v>24471.705469938777</c:v>
                </c:pt>
                <c:pt idx="18">
                  <c:v>24342.344994893734</c:v>
                </c:pt>
                <c:pt idx="19">
                  <c:v>24384.858113904829</c:v>
                </c:pt>
                <c:pt idx="20">
                  <c:v>24682.177109257867</c:v>
                </c:pt>
                <c:pt idx="21">
                  <c:v>24864.133149342939</c:v>
                </c:pt>
                <c:pt idx="22">
                  <c:v>24429.541657496262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59-46B5-908F-CC51FB0D9C94}"/>
            </c:ext>
          </c:extLst>
        </c:ser>
        <c:ser>
          <c:idx val="1"/>
          <c:order val="1"/>
          <c:tx>
            <c:strRef>
              <c:f>'NIFTY-Scientific, OPTION PRICIN'!$K$1</c:f>
              <c:strCache>
                <c:ptCount val="1"/>
                <c:pt idx="0">
                  <c:v>Path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PRICIN'!$K$2:$K$24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24402.788188865299</c:v>
                </c:pt>
                <c:pt idx="2">
                  <c:v>24772.425538465744</c:v>
                </c:pt>
                <c:pt idx="3">
                  <c:v>24945.282539279713</c:v>
                </c:pt>
                <c:pt idx="4">
                  <c:v>24670.956399322906</c:v>
                </c:pt>
                <c:pt idx="5">
                  <c:v>24713.9872425539</c:v>
                </c:pt>
                <c:pt idx="6">
                  <c:v>24671.782450991828</c:v>
                </c:pt>
                <c:pt idx="7">
                  <c:v>24703.930806544427</c:v>
                </c:pt>
                <c:pt idx="8">
                  <c:v>24522.361087318499</c:v>
                </c:pt>
                <c:pt idx="9">
                  <c:v>24674.090443539204</c:v>
                </c:pt>
                <c:pt idx="10">
                  <c:v>24505.914608770297</c:v>
                </c:pt>
                <c:pt idx="11">
                  <c:v>24681.043319481887</c:v>
                </c:pt>
                <c:pt idx="12">
                  <c:v>24487.983482887976</c:v>
                </c:pt>
                <c:pt idx="13">
                  <c:v>24377.470556749398</c:v>
                </c:pt>
                <c:pt idx="14">
                  <c:v>23945.860062871878</c:v>
                </c:pt>
                <c:pt idx="15">
                  <c:v>23926.690376240902</c:v>
                </c:pt>
                <c:pt idx="16">
                  <c:v>24102.732320728395</c:v>
                </c:pt>
                <c:pt idx="17">
                  <c:v>24098.37281329327</c:v>
                </c:pt>
                <c:pt idx="18">
                  <c:v>24122.039448003594</c:v>
                </c:pt>
                <c:pt idx="19">
                  <c:v>23986.944964293602</c:v>
                </c:pt>
                <c:pt idx="20">
                  <c:v>23880.804304423371</c:v>
                </c:pt>
                <c:pt idx="21">
                  <c:v>24056.97410394944</c:v>
                </c:pt>
                <c:pt idx="22">
                  <c:v>23844.565773939819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59-46B5-908F-CC51FB0D9C94}"/>
            </c:ext>
          </c:extLst>
        </c:ser>
        <c:ser>
          <c:idx val="2"/>
          <c:order val="2"/>
          <c:tx>
            <c:strRef>
              <c:f>'NIFTY-Scientific, OPTION PRICIN'!$L$1</c:f>
              <c:strCache>
                <c:ptCount val="1"/>
                <c:pt idx="0">
                  <c:v>Path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PRICIN'!$L$2:$L$24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23683.129480194715</c:v>
                </c:pt>
                <c:pt idx="2">
                  <c:v>23456.394786614303</c:v>
                </c:pt>
                <c:pt idx="3">
                  <c:v>23102.512165218996</c:v>
                </c:pt>
                <c:pt idx="4">
                  <c:v>23002.258402489595</c:v>
                </c:pt>
                <c:pt idx="5">
                  <c:v>23424.707816132501</c:v>
                </c:pt>
                <c:pt idx="6">
                  <c:v>23217.77967005334</c:v>
                </c:pt>
                <c:pt idx="7">
                  <c:v>22924.710527703439</c:v>
                </c:pt>
                <c:pt idx="8">
                  <c:v>23042.310317533349</c:v>
                </c:pt>
                <c:pt idx="9">
                  <c:v>22886.810901265326</c:v>
                </c:pt>
                <c:pt idx="10">
                  <c:v>22957.6042038415</c:v>
                </c:pt>
                <c:pt idx="11">
                  <c:v>22848.417666751644</c:v>
                </c:pt>
                <c:pt idx="12">
                  <c:v>22856.762067214484</c:v>
                </c:pt>
                <c:pt idx="13">
                  <c:v>22671.145522877447</c:v>
                </c:pt>
                <c:pt idx="14">
                  <c:v>23105.726795858471</c:v>
                </c:pt>
                <c:pt idx="15">
                  <c:v>22997.209960059005</c:v>
                </c:pt>
                <c:pt idx="16">
                  <c:v>23295.409735122728</c:v>
                </c:pt>
                <c:pt idx="17">
                  <c:v>23474.56706260307</c:v>
                </c:pt>
                <c:pt idx="18">
                  <c:v>23704.132348145678</c:v>
                </c:pt>
                <c:pt idx="19">
                  <c:v>23438.390094709739</c:v>
                </c:pt>
                <c:pt idx="20">
                  <c:v>23483.222637145784</c:v>
                </c:pt>
                <c:pt idx="21">
                  <c:v>23447.485604880567</c:v>
                </c:pt>
                <c:pt idx="22">
                  <c:v>23686.478551566073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59-46B5-908F-CC51FB0D9C94}"/>
            </c:ext>
          </c:extLst>
        </c:ser>
        <c:ser>
          <c:idx val="3"/>
          <c:order val="3"/>
          <c:tx>
            <c:strRef>
              <c:f>'NIFTY-Scientific, OPTION PRICIN'!$M$1</c:f>
              <c:strCache>
                <c:ptCount val="1"/>
                <c:pt idx="0">
                  <c:v>Path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PRICIN'!$M$2:$M$24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24303.304566297029</c:v>
                </c:pt>
                <c:pt idx="2">
                  <c:v>24483.584915830477</c:v>
                </c:pt>
                <c:pt idx="3">
                  <c:v>24527.932181324693</c:v>
                </c:pt>
                <c:pt idx="4">
                  <c:v>24688.566006776644</c:v>
                </c:pt>
                <c:pt idx="5">
                  <c:v>25283.744660297543</c:v>
                </c:pt>
                <c:pt idx="6">
                  <c:v>25161.703290785048</c:v>
                </c:pt>
                <c:pt idx="7">
                  <c:v>25131.335959240401</c:v>
                </c:pt>
                <c:pt idx="8">
                  <c:v>25271.822027692877</c:v>
                </c:pt>
                <c:pt idx="9">
                  <c:v>24911.613554029354</c:v>
                </c:pt>
                <c:pt idx="10">
                  <c:v>24805.585030951268</c:v>
                </c:pt>
                <c:pt idx="11">
                  <c:v>25124.811090982726</c:v>
                </c:pt>
                <c:pt idx="12">
                  <c:v>25324.710450341139</c:v>
                </c:pt>
                <c:pt idx="13">
                  <c:v>25507.558813095329</c:v>
                </c:pt>
                <c:pt idx="14">
                  <c:v>25292.684009442841</c:v>
                </c:pt>
                <c:pt idx="15">
                  <c:v>25203.862294937269</c:v>
                </c:pt>
                <c:pt idx="16">
                  <c:v>25298.572178085269</c:v>
                </c:pt>
                <c:pt idx="17">
                  <c:v>25468.113903215468</c:v>
                </c:pt>
                <c:pt idx="18">
                  <c:v>25395.987764898193</c:v>
                </c:pt>
                <c:pt idx="19">
                  <c:v>25054.28805565778</c:v>
                </c:pt>
                <c:pt idx="20">
                  <c:v>25022.847689630587</c:v>
                </c:pt>
                <c:pt idx="21">
                  <c:v>25014.492327070046</c:v>
                </c:pt>
                <c:pt idx="22">
                  <c:v>24986.3758588624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59-46B5-908F-CC51FB0D9C94}"/>
            </c:ext>
          </c:extLst>
        </c:ser>
        <c:ser>
          <c:idx val="4"/>
          <c:order val="4"/>
          <c:tx>
            <c:strRef>
              <c:f>'NIFTY-Scientific, OPTION PRICIN'!$N$1</c:f>
              <c:strCache>
                <c:ptCount val="1"/>
                <c:pt idx="0">
                  <c:v>Path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PRICIN'!$N$2:$N$24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23958.617899386052</c:v>
                </c:pt>
                <c:pt idx="2">
                  <c:v>24212.170327842487</c:v>
                </c:pt>
                <c:pt idx="3">
                  <c:v>24269.3242225658</c:v>
                </c:pt>
                <c:pt idx="4">
                  <c:v>24558.872987974202</c:v>
                </c:pt>
                <c:pt idx="5">
                  <c:v>24689.702361050589</c:v>
                </c:pt>
                <c:pt idx="6">
                  <c:v>24949.605708582596</c:v>
                </c:pt>
                <c:pt idx="7">
                  <c:v>24926.624628005145</c:v>
                </c:pt>
                <c:pt idx="8">
                  <c:v>24681.472504915077</c:v>
                </c:pt>
                <c:pt idx="9">
                  <c:v>24926.558119201862</c:v>
                </c:pt>
                <c:pt idx="10">
                  <c:v>24905.784094445295</c:v>
                </c:pt>
                <c:pt idx="11">
                  <c:v>25153.509651274209</c:v>
                </c:pt>
                <c:pt idx="12">
                  <c:v>25078.609216823257</c:v>
                </c:pt>
                <c:pt idx="13">
                  <c:v>24839.717555729796</c:v>
                </c:pt>
                <c:pt idx="14">
                  <c:v>24715.09670595243</c:v>
                </c:pt>
                <c:pt idx="15">
                  <c:v>24697.648065047691</c:v>
                </c:pt>
                <c:pt idx="16">
                  <c:v>24886.968060470339</c:v>
                </c:pt>
                <c:pt idx="17">
                  <c:v>25059.608075741544</c:v>
                </c:pt>
                <c:pt idx="18">
                  <c:v>24933.805320220683</c:v>
                </c:pt>
                <c:pt idx="19">
                  <c:v>24756.912675422798</c:v>
                </c:pt>
                <c:pt idx="20">
                  <c:v>24588.606455071087</c:v>
                </c:pt>
                <c:pt idx="21">
                  <c:v>24741.802891143678</c:v>
                </c:pt>
                <c:pt idx="22">
                  <c:v>24401.487981785656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59-46B5-908F-CC51FB0D9C94}"/>
            </c:ext>
          </c:extLst>
        </c:ser>
        <c:ser>
          <c:idx val="5"/>
          <c:order val="5"/>
          <c:tx>
            <c:strRef>
              <c:f>'NIFTY-Scientific, OPTION PRICIN'!$O$1</c:f>
              <c:strCache>
                <c:ptCount val="1"/>
                <c:pt idx="0">
                  <c:v>Path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PRICIN'!$O$2:$O$24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24297.590152382989</c:v>
                </c:pt>
                <c:pt idx="2">
                  <c:v>24336.472160907451</c:v>
                </c:pt>
                <c:pt idx="3">
                  <c:v>24548.427703896363</c:v>
                </c:pt>
                <c:pt idx="4">
                  <c:v>24575.370761956656</c:v>
                </c:pt>
                <c:pt idx="5">
                  <c:v>24684.693024085132</c:v>
                </c:pt>
                <c:pt idx="6">
                  <c:v>24894.112280184025</c:v>
                </c:pt>
                <c:pt idx="7">
                  <c:v>24841.761254531903</c:v>
                </c:pt>
                <c:pt idx="8">
                  <c:v>24307.295267802241</c:v>
                </c:pt>
                <c:pt idx="9">
                  <c:v>24357.058677887559</c:v>
                </c:pt>
                <c:pt idx="10">
                  <c:v>24478.341727263425</c:v>
                </c:pt>
                <c:pt idx="11">
                  <c:v>24245.615978633432</c:v>
                </c:pt>
                <c:pt idx="12">
                  <c:v>23899.01217122723</c:v>
                </c:pt>
                <c:pt idx="13">
                  <c:v>23944.51826603512</c:v>
                </c:pt>
                <c:pt idx="14">
                  <c:v>23840.966178494305</c:v>
                </c:pt>
                <c:pt idx="15">
                  <c:v>24131.035193916243</c:v>
                </c:pt>
                <c:pt idx="16">
                  <c:v>24265.550490298789</c:v>
                </c:pt>
                <c:pt idx="17">
                  <c:v>24237.723241576103</c:v>
                </c:pt>
                <c:pt idx="18">
                  <c:v>24676.570924890406</c:v>
                </c:pt>
                <c:pt idx="19">
                  <c:v>24790.042435246858</c:v>
                </c:pt>
                <c:pt idx="20">
                  <c:v>24599.854094878094</c:v>
                </c:pt>
                <c:pt idx="21">
                  <c:v>24821.815948236184</c:v>
                </c:pt>
                <c:pt idx="22">
                  <c:v>24899.834027099281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59-46B5-908F-CC51FB0D9C94}"/>
            </c:ext>
          </c:extLst>
        </c:ser>
        <c:ser>
          <c:idx val="6"/>
          <c:order val="6"/>
          <c:tx>
            <c:strRef>
              <c:f>'NIFTY-Scientific, OPTION PRICIN'!$P$1</c:f>
              <c:strCache>
                <c:ptCount val="1"/>
                <c:pt idx="0">
                  <c:v>Path 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PRICIN'!$P$2:$P$24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24115.088394368391</c:v>
                </c:pt>
                <c:pt idx="2">
                  <c:v>24113.508825648671</c:v>
                </c:pt>
                <c:pt idx="3">
                  <c:v>23770.619365974631</c:v>
                </c:pt>
                <c:pt idx="4">
                  <c:v>24035.642949129629</c:v>
                </c:pt>
                <c:pt idx="5">
                  <c:v>24117.322644320138</c:v>
                </c:pt>
                <c:pt idx="6">
                  <c:v>24039.898163860413</c:v>
                </c:pt>
                <c:pt idx="7">
                  <c:v>23909.844177375879</c:v>
                </c:pt>
                <c:pt idx="8">
                  <c:v>23970.622946748776</c:v>
                </c:pt>
                <c:pt idx="9">
                  <c:v>23986.154627726715</c:v>
                </c:pt>
                <c:pt idx="10">
                  <c:v>23922.461533335063</c:v>
                </c:pt>
                <c:pt idx="11">
                  <c:v>23662.442514182989</c:v>
                </c:pt>
                <c:pt idx="12">
                  <c:v>23501.572292461889</c:v>
                </c:pt>
                <c:pt idx="13">
                  <c:v>23192.811255235712</c:v>
                </c:pt>
                <c:pt idx="14">
                  <c:v>23156.901647170573</c:v>
                </c:pt>
                <c:pt idx="15">
                  <c:v>23254.562244591503</c:v>
                </c:pt>
                <c:pt idx="16">
                  <c:v>23271.801590674597</c:v>
                </c:pt>
                <c:pt idx="17">
                  <c:v>23304.377724567705</c:v>
                </c:pt>
                <c:pt idx="18">
                  <c:v>23041.066355794213</c:v>
                </c:pt>
                <c:pt idx="19">
                  <c:v>22942.251922777385</c:v>
                </c:pt>
                <c:pt idx="20">
                  <c:v>22833.343332737735</c:v>
                </c:pt>
                <c:pt idx="21">
                  <c:v>22680.199579716631</c:v>
                </c:pt>
                <c:pt idx="22">
                  <c:v>22627.315373644389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59-46B5-908F-CC51FB0D9C94}"/>
            </c:ext>
          </c:extLst>
        </c:ser>
        <c:ser>
          <c:idx val="7"/>
          <c:order val="7"/>
          <c:tx>
            <c:strRef>
              <c:f>'NIFTY-Scientific, OPTION PRICIN'!$Q$1</c:f>
              <c:strCache>
                <c:ptCount val="1"/>
                <c:pt idx="0">
                  <c:v>Path 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PRICIN'!$Q$2:$Q$24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24289.233604842662</c:v>
                </c:pt>
                <c:pt idx="2">
                  <c:v>24414.426439412058</c:v>
                </c:pt>
                <c:pt idx="3">
                  <c:v>24529.993397073897</c:v>
                </c:pt>
                <c:pt idx="4">
                  <c:v>24510.743067147672</c:v>
                </c:pt>
                <c:pt idx="5">
                  <c:v>24446.201150611734</c:v>
                </c:pt>
                <c:pt idx="6">
                  <c:v>24510.49712428818</c:v>
                </c:pt>
                <c:pt idx="7">
                  <c:v>24148.479543137371</c:v>
                </c:pt>
                <c:pt idx="8">
                  <c:v>23833.468266912329</c:v>
                </c:pt>
                <c:pt idx="9">
                  <c:v>24037.548702665739</c:v>
                </c:pt>
                <c:pt idx="10">
                  <c:v>24213.292927186361</c:v>
                </c:pt>
                <c:pt idx="11">
                  <c:v>24403.468118638011</c:v>
                </c:pt>
                <c:pt idx="12">
                  <c:v>24563.536206943591</c:v>
                </c:pt>
                <c:pt idx="13">
                  <c:v>24526.109562482972</c:v>
                </c:pt>
                <c:pt idx="14">
                  <c:v>24430.80749753648</c:v>
                </c:pt>
                <c:pt idx="15">
                  <c:v>24430.960805379062</c:v>
                </c:pt>
                <c:pt idx="16">
                  <c:v>24145.915468103929</c:v>
                </c:pt>
                <c:pt idx="17">
                  <c:v>24374.937516004844</c:v>
                </c:pt>
                <c:pt idx="18">
                  <c:v>24518.986664182525</c:v>
                </c:pt>
                <c:pt idx="19">
                  <c:v>24898.130239046779</c:v>
                </c:pt>
                <c:pt idx="20">
                  <c:v>25391.260135281482</c:v>
                </c:pt>
                <c:pt idx="21">
                  <c:v>25546.294532825323</c:v>
                </c:pt>
                <c:pt idx="22">
                  <c:v>25814.45528420464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59-46B5-908F-CC51FB0D9C94}"/>
            </c:ext>
          </c:extLst>
        </c:ser>
        <c:ser>
          <c:idx val="8"/>
          <c:order val="8"/>
          <c:tx>
            <c:strRef>
              <c:f>'NIFTY-Scientific, OPTION PRICIN'!$R$1</c:f>
              <c:strCache>
                <c:ptCount val="1"/>
                <c:pt idx="0">
                  <c:v>Path 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PRICIN'!$R$2:$R$24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24073.739813877753</c:v>
                </c:pt>
                <c:pt idx="2">
                  <c:v>23905.215166930866</c:v>
                </c:pt>
                <c:pt idx="3">
                  <c:v>24081.736226912759</c:v>
                </c:pt>
                <c:pt idx="4">
                  <c:v>24204.121841777975</c:v>
                </c:pt>
                <c:pt idx="5">
                  <c:v>24144.633655463698</c:v>
                </c:pt>
                <c:pt idx="6">
                  <c:v>24623.683287472377</c:v>
                </c:pt>
                <c:pt idx="7">
                  <c:v>24578.023255347543</c:v>
                </c:pt>
                <c:pt idx="8">
                  <c:v>24587.67580306773</c:v>
                </c:pt>
                <c:pt idx="9">
                  <c:v>24471.690682994147</c:v>
                </c:pt>
                <c:pt idx="10">
                  <c:v>23980.316341091555</c:v>
                </c:pt>
                <c:pt idx="11">
                  <c:v>24109.8769327111</c:v>
                </c:pt>
                <c:pt idx="12">
                  <c:v>24313.520041101368</c:v>
                </c:pt>
                <c:pt idx="13">
                  <c:v>24476.258625567425</c:v>
                </c:pt>
                <c:pt idx="14">
                  <c:v>24480.295971190939</c:v>
                </c:pt>
                <c:pt idx="15">
                  <c:v>24811.927336298239</c:v>
                </c:pt>
                <c:pt idx="16">
                  <c:v>24985.522689351401</c:v>
                </c:pt>
                <c:pt idx="17">
                  <c:v>25075.497464803077</c:v>
                </c:pt>
                <c:pt idx="18">
                  <c:v>25175.330687795082</c:v>
                </c:pt>
                <c:pt idx="19">
                  <c:v>25373.819350609101</c:v>
                </c:pt>
                <c:pt idx="20">
                  <c:v>25225.055396849522</c:v>
                </c:pt>
                <c:pt idx="21">
                  <c:v>24949.297258458962</c:v>
                </c:pt>
                <c:pt idx="22">
                  <c:v>25109.271102032708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59-46B5-908F-CC51FB0D9C94}"/>
            </c:ext>
          </c:extLst>
        </c:ser>
        <c:ser>
          <c:idx val="9"/>
          <c:order val="9"/>
          <c:tx>
            <c:strRef>
              <c:f>'NIFTY-Scientific, OPTION PRICIN'!$S$1</c:f>
              <c:strCache>
                <c:ptCount val="1"/>
                <c:pt idx="0">
                  <c:v>Path 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PRICIN'!$S$2:$S$24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24291.843097318953</c:v>
                </c:pt>
                <c:pt idx="2">
                  <c:v>24506.127126401159</c:v>
                </c:pt>
                <c:pt idx="3">
                  <c:v>24274.345211521668</c:v>
                </c:pt>
                <c:pt idx="4">
                  <c:v>24259.959067773041</c:v>
                </c:pt>
                <c:pt idx="5">
                  <c:v>24538.971514849942</c:v>
                </c:pt>
                <c:pt idx="6">
                  <c:v>24748.253843951788</c:v>
                </c:pt>
                <c:pt idx="7">
                  <c:v>24277.330823380609</c:v>
                </c:pt>
                <c:pt idx="8">
                  <c:v>24247.994696708327</c:v>
                </c:pt>
                <c:pt idx="9">
                  <c:v>24228.072389441812</c:v>
                </c:pt>
                <c:pt idx="10">
                  <c:v>24186.248996872986</c:v>
                </c:pt>
                <c:pt idx="11">
                  <c:v>24096.408290807751</c:v>
                </c:pt>
                <c:pt idx="12">
                  <c:v>24343.827635270627</c:v>
                </c:pt>
                <c:pt idx="13">
                  <c:v>24450.724801495035</c:v>
                </c:pt>
                <c:pt idx="14">
                  <c:v>24669.003725684266</c:v>
                </c:pt>
                <c:pt idx="15">
                  <c:v>24623.919449458208</c:v>
                </c:pt>
                <c:pt idx="16">
                  <c:v>24523.157108467265</c:v>
                </c:pt>
                <c:pt idx="17">
                  <c:v>24642.552926995661</c:v>
                </c:pt>
                <c:pt idx="18">
                  <c:v>24617.188557601719</c:v>
                </c:pt>
                <c:pt idx="19">
                  <c:v>24613.735580402357</c:v>
                </c:pt>
                <c:pt idx="20">
                  <c:v>24682.737743194739</c:v>
                </c:pt>
                <c:pt idx="21">
                  <c:v>24709.098094489393</c:v>
                </c:pt>
                <c:pt idx="22">
                  <c:v>24820.177746643345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59-46B5-908F-CC51FB0D9C94}"/>
            </c:ext>
          </c:extLst>
        </c:ser>
        <c:ser>
          <c:idx val="10"/>
          <c:order val="10"/>
          <c:tx>
            <c:strRef>
              <c:f>'NIFTY-Scientific, OPTION PRICIN'!$T$1</c:f>
              <c:strCache>
                <c:ptCount val="1"/>
                <c:pt idx="0">
                  <c:v>Path 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PRICIN'!$T$2:$T$24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24075.998159189912</c:v>
                </c:pt>
                <c:pt idx="2">
                  <c:v>23975.252609730043</c:v>
                </c:pt>
                <c:pt idx="3">
                  <c:v>24034.862211555916</c:v>
                </c:pt>
                <c:pt idx="4">
                  <c:v>23872.999538705037</c:v>
                </c:pt>
                <c:pt idx="5">
                  <c:v>23908.003748665516</c:v>
                </c:pt>
                <c:pt idx="6">
                  <c:v>24156.61800333441</c:v>
                </c:pt>
                <c:pt idx="7">
                  <c:v>24088.601540187643</c:v>
                </c:pt>
                <c:pt idx="8">
                  <c:v>23884.248180794995</c:v>
                </c:pt>
                <c:pt idx="9">
                  <c:v>23653.228447468355</c:v>
                </c:pt>
                <c:pt idx="10">
                  <c:v>23528.200162261826</c:v>
                </c:pt>
                <c:pt idx="11">
                  <c:v>22965.352472224004</c:v>
                </c:pt>
                <c:pt idx="12">
                  <c:v>23315.392585048809</c:v>
                </c:pt>
                <c:pt idx="13">
                  <c:v>23287.076381014966</c:v>
                </c:pt>
                <c:pt idx="14">
                  <c:v>23172.928142377732</c:v>
                </c:pt>
                <c:pt idx="15">
                  <c:v>23000.796152335457</c:v>
                </c:pt>
                <c:pt idx="16">
                  <c:v>22817.122793503189</c:v>
                </c:pt>
                <c:pt idx="17">
                  <c:v>22538.368129342722</c:v>
                </c:pt>
                <c:pt idx="18">
                  <c:v>22866.1035332469</c:v>
                </c:pt>
                <c:pt idx="19">
                  <c:v>22899.157778726763</c:v>
                </c:pt>
                <c:pt idx="20">
                  <c:v>22981.228480525813</c:v>
                </c:pt>
                <c:pt idx="21">
                  <c:v>22909.426161305691</c:v>
                </c:pt>
                <c:pt idx="22">
                  <c:v>23336.477025135457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59-46B5-908F-CC51FB0D9C94}"/>
            </c:ext>
          </c:extLst>
        </c:ser>
        <c:ser>
          <c:idx val="11"/>
          <c:order val="11"/>
          <c:tx>
            <c:strRef>
              <c:f>'NIFTY-Scientific, OPTION PRICIN'!$U$1</c:f>
              <c:strCache>
                <c:ptCount val="1"/>
                <c:pt idx="0">
                  <c:v>Path 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PRICIN'!$U$2:$U$24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24228.17203129494</c:v>
                </c:pt>
                <c:pt idx="2">
                  <c:v>24158.32460849603</c:v>
                </c:pt>
                <c:pt idx="3">
                  <c:v>24218.298748128891</c:v>
                </c:pt>
                <c:pt idx="4">
                  <c:v>24397.966087904781</c:v>
                </c:pt>
                <c:pt idx="5">
                  <c:v>24556.903625766859</c:v>
                </c:pt>
                <c:pt idx="6">
                  <c:v>24399.344408174697</c:v>
                </c:pt>
                <c:pt idx="7">
                  <c:v>24622.406813307582</c:v>
                </c:pt>
                <c:pt idx="8">
                  <c:v>24629.076370324125</c:v>
                </c:pt>
                <c:pt idx="9">
                  <c:v>24408.336489417219</c:v>
                </c:pt>
                <c:pt idx="10">
                  <c:v>24346.642916298493</c:v>
                </c:pt>
                <c:pt idx="11">
                  <c:v>24452.948977621625</c:v>
                </c:pt>
                <c:pt idx="12">
                  <c:v>24448.167987196757</c:v>
                </c:pt>
                <c:pt idx="13">
                  <c:v>24632.422233306272</c:v>
                </c:pt>
                <c:pt idx="14">
                  <c:v>24505.815187352131</c:v>
                </c:pt>
                <c:pt idx="15">
                  <c:v>24252.646222899239</c:v>
                </c:pt>
                <c:pt idx="16">
                  <c:v>24289.099083343288</c:v>
                </c:pt>
                <c:pt idx="17">
                  <c:v>24503.154533018653</c:v>
                </c:pt>
                <c:pt idx="18">
                  <c:v>24417.080380425621</c:v>
                </c:pt>
                <c:pt idx="19">
                  <c:v>24348.349231628985</c:v>
                </c:pt>
                <c:pt idx="20">
                  <c:v>24464.916217206257</c:v>
                </c:pt>
                <c:pt idx="21">
                  <c:v>24583.96850825426</c:v>
                </c:pt>
                <c:pt idx="22">
                  <c:v>24765.907522886802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59-46B5-908F-CC51FB0D9C94}"/>
            </c:ext>
          </c:extLst>
        </c:ser>
        <c:ser>
          <c:idx val="12"/>
          <c:order val="12"/>
          <c:tx>
            <c:strRef>
              <c:f>'NIFTY-Scientific, OPTION PRICIN'!$V$1</c:f>
              <c:strCache>
                <c:ptCount val="1"/>
                <c:pt idx="0">
                  <c:v>Path 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PRICIN'!$V$2:$V$24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23967.236619891162</c:v>
                </c:pt>
                <c:pt idx="2">
                  <c:v>23397.117514411206</c:v>
                </c:pt>
                <c:pt idx="3">
                  <c:v>23386.034069301946</c:v>
                </c:pt>
                <c:pt idx="4">
                  <c:v>23463.0248095924</c:v>
                </c:pt>
                <c:pt idx="5">
                  <c:v>23503.709547214796</c:v>
                </c:pt>
                <c:pt idx="6">
                  <c:v>23782.564181363789</c:v>
                </c:pt>
                <c:pt idx="7">
                  <c:v>23658.172173656872</c:v>
                </c:pt>
                <c:pt idx="8">
                  <c:v>23715.527051269204</c:v>
                </c:pt>
                <c:pt idx="9">
                  <c:v>23683.870701272881</c:v>
                </c:pt>
                <c:pt idx="10">
                  <c:v>23647.222808363163</c:v>
                </c:pt>
                <c:pt idx="11">
                  <c:v>23694.055490715855</c:v>
                </c:pt>
                <c:pt idx="12">
                  <c:v>24050.898059344338</c:v>
                </c:pt>
                <c:pt idx="13">
                  <c:v>24636.827058333682</c:v>
                </c:pt>
                <c:pt idx="14">
                  <c:v>24632.647540290356</c:v>
                </c:pt>
                <c:pt idx="15">
                  <c:v>24333.607275950249</c:v>
                </c:pt>
                <c:pt idx="16">
                  <c:v>24009.500397583808</c:v>
                </c:pt>
                <c:pt idx="17">
                  <c:v>24194.224630000259</c:v>
                </c:pt>
                <c:pt idx="18">
                  <c:v>24360.654513044639</c:v>
                </c:pt>
                <c:pt idx="19">
                  <c:v>24683.578263821699</c:v>
                </c:pt>
                <c:pt idx="20">
                  <c:v>24680.96299259724</c:v>
                </c:pt>
                <c:pt idx="21">
                  <c:v>24432.583315063966</c:v>
                </c:pt>
                <c:pt idx="22">
                  <c:v>24251.576945470639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59-46B5-908F-CC51FB0D9C94}"/>
            </c:ext>
          </c:extLst>
        </c:ser>
        <c:ser>
          <c:idx val="13"/>
          <c:order val="13"/>
          <c:tx>
            <c:strRef>
              <c:f>'NIFTY-Scientific, OPTION PRICIN'!$W$1</c:f>
              <c:strCache>
                <c:ptCount val="1"/>
                <c:pt idx="0">
                  <c:v>Path 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PRICIN'!$W$2:$W$24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23905.003964386389</c:v>
                </c:pt>
                <c:pt idx="2">
                  <c:v>23352.678517163618</c:v>
                </c:pt>
                <c:pt idx="3">
                  <c:v>23623.761056026568</c:v>
                </c:pt>
                <c:pt idx="4">
                  <c:v>23277.320172011205</c:v>
                </c:pt>
                <c:pt idx="5">
                  <c:v>23137.753358503116</c:v>
                </c:pt>
                <c:pt idx="6">
                  <c:v>23366.45763285986</c:v>
                </c:pt>
                <c:pt idx="7">
                  <c:v>22927.337056324315</c:v>
                </c:pt>
                <c:pt idx="8">
                  <c:v>22974.745522107642</c:v>
                </c:pt>
                <c:pt idx="9">
                  <c:v>23076.000535877331</c:v>
                </c:pt>
                <c:pt idx="10">
                  <c:v>22937.215835382212</c:v>
                </c:pt>
                <c:pt idx="11">
                  <c:v>22975.014985196027</c:v>
                </c:pt>
                <c:pt idx="12">
                  <c:v>23264.042669491497</c:v>
                </c:pt>
                <c:pt idx="13">
                  <c:v>23078.954792172677</c:v>
                </c:pt>
                <c:pt idx="14">
                  <c:v>22895.870562658321</c:v>
                </c:pt>
                <c:pt idx="15">
                  <c:v>23012.92104897396</c:v>
                </c:pt>
                <c:pt idx="16">
                  <c:v>23226.552418500811</c:v>
                </c:pt>
                <c:pt idx="17">
                  <c:v>23383.86795649086</c:v>
                </c:pt>
                <c:pt idx="18">
                  <c:v>23296.380500924046</c:v>
                </c:pt>
                <c:pt idx="19">
                  <c:v>23596.371705775106</c:v>
                </c:pt>
                <c:pt idx="20">
                  <c:v>23820.699918197384</c:v>
                </c:pt>
                <c:pt idx="21">
                  <c:v>23406.849803521036</c:v>
                </c:pt>
                <c:pt idx="22">
                  <c:v>23646.828146756819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59-46B5-908F-CC51FB0D9C94}"/>
            </c:ext>
          </c:extLst>
        </c:ser>
        <c:ser>
          <c:idx val="14"/>
          <c:order val="14"/>
          <c:tx>
            <c:strRef>
              <c:f>'NIFTY-Scientific, OPTION PRICIN'!$X$1</c:f>
              <c:strCache>
                <c:ptCount val="1"/>
                <c:pt idx="0">
                  <c:v>Path 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PRICIN'!$X$2:$X$24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24375.856219674584</c:v>
                </c:pt>
                <c:pt idx="2">
                  <c:v>24660.801524230665</c:v>
                </c:pt>
                <c:pt idx="3">
                  <c:v>24889.966388809087</c:v>
                </c:pt>
                <c:pt idx="4">
                  <c:v>25123.446958675253</c:v>
                </c:pt>
                <c:pt idx="5">
                  <c:v>24865.212283559533</c:v>
                </c:pt>
                <c:pt idx="6">
                  <c:v>24836.63558187713</c:v>
                </c:pt>
                <c:pt idx="7">
                  <c:v>25176.480152356846</c:v>
                </c:pt>
                <c:pt idx="8">
                  <c:v>25566.296257841776</c:v>
                </c:pt>
                <c:pt idx="9">
                  <c:v>25652.273045134461</c:v>
                </c:pt>
                <c:pt idx="10">
                  <c:v>25690.253618515417</c:v>
                </c:pt>
                <c:pt idx="11">
                  <c:v>25712.729349454803</c:v>
                </c:pt>
                <c:pt idx="12">
                  <c:v>25705.22459042347</c:v>
                </c:pt>
                <c:pt idx="13">
                  <c:v>25428.514962285295</c:v>
                </c:pt>
                <c:pt idx="14">
                  <c:v>25263.182820322538</c:v>
                </c:pt>
                <c:pt idx="15">
                  <c:v>25269.688199597138</c:v>
                </c:pt>
                <c:pt idx="16">
                  <c:v>25153.245159807902</c:v>
                </c:pt>
                <c:pt idx="17">
                  <c:v>25200.119069643715</c:v>
                </c:pt>
                <c:pt idx="18">
                  <c:v>25120.144805472399</c:v>
                </c:pt>
                <c:pt idx="19">
                  <c:v>25200.28851228756</c:v>
                </c:pt>
                <c:pt idx="20">
                  <c:v>24833.511529030911</c:v>
                </c:pt>
                <c:pt idx="21">
                  <c:v>24834.353810720204</c:v>
                </c:pt>
                <c:pt idx="22">
                  <c:v>24764.265232893427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759-46B5-908F-CC51FB0D9C94}"/>
            </c:ext>
          </c:extLst>
        </c:ser>
        <c:ser>
          <c:idx val="15"/>
          <c:order val="15"/>
          <c:tx>
            <c:strRef>
              <c:f>'NIFTY-Scientific, OPTION PRICIN'!$Y$1</c:f>
              <c:strCache>
                <c:ptCount val="1"/>
                <c:pt idx="0">
                  <c:v>Path 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PRICIN'!$Y$2:$Y$24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23565.793494460733</c:v>
                </c:pt>
                <c:pt idx="2">
                  <c:v>23510.4407408064</c:v>
                </c:pt>
                <c:pt idx="3">
                  <c:v>23573.880721994672</c:v>
                </c:pt>
                <c:pt idx="4">
                  <c:v>23845.84664400023</c:v>
                </c:pt>
                <c:pt idx="5">
                  <c:v>23647.04108788244</c:v>
                </c:pt>
                <c:pt idx="6">
                  <c:v>23474.581293662734</c:v>
                </c:pt>
                <c:pt idx="7">
                  <c:v>23153.154524495389</c:v>
                </c:pt>
                <c:pt idx="8">
                  <c:v>22887.882944790555</c:v>
                </c:pt>
                <c:pt idx="9">
                  <c:v>22623.950905602382</c:v>
                </c:pt>
                <c:pt idx="10">
                  <c:v>22563.579282392879</c:v>
                </c:pt>
                <c:pt idx="11">
                  <c:v>22820.227681517757</c:v>
                </c:pt>
                <c:pt idx="12">
                  <c:v>23256.871821825898</c:v>
                </c:pt>
                <c:pt idx="13">
                  <c:v>23281.947602091725</c:v>
                </c:pt>
                <c:pt idx="14">
                  <c:v>23183.99463111259</c:v>
                </c:pt>
                <c:pt idx="15">
                  <c:v>23282.037831673937</c:v>
                </c:pt>
                <c:pt idx="16">
                  <c:v>23316.228937452597</c:v>
                </c:pt>
                <c:pt idx="17">
                  <c:v>23457.008658625764</c:v>
                </c:pt>
                <c:pt idx="18">
                  <c:v>23710.734417457013</c:v>
                </c:pt>
                <c:pt idx="19">
                  <c:v>23713.993009385053</c:v>
                </c:pt>
                <c:pt idx="20">
                  <c:v>23809.836078556269</c:v>
                </c:pt>
                <c:pt idx="21">
                  <c:v>23548.060716394415</c:v>
                </c:pt>
                <c:pt idx="22">
                  <c:v>23182.742140713312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759-46B5-908F-CC51FB0D9C94}"/>
            </c:ext>
          </c:extLst>
        </c:ser>
        <c:ser>
          <c:idx val="16"/>
          <c:order val="16"/>
          <c:tx>
            <c:strRef>
              <c:f>'NIFTY-Scientific, OPTION PRICIN'!$Z$1</c:f>
              <c:strCache>
                <c:ptCount val="1"/>
                <c:pt idx="0">
                  <c:v>Path 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PRICIN'!$Z$2:$Z$24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24164.9092801849</c:v>
                </c:pt>
                <c:pt idx="2">
                  <c:v>23781.436726409538</c:v>
                </c:pt>
                <c:pt idx="3">
                  <c:v>23585.180272491045</c:v>
                </c:pt>
                <c:pt idx="4">
                  <c:v>23602.568335409756</c:v>
                </c:pt>
                <c:pt idx="5">
                  <c:v>23585.309729025976</c:v>
                </c:pt>
                <c:pt idx="6">
                  <c:v>23393.961043017836</c:v>
                </c:pt>
                <c:pt idx="7">
                  <c:v>23710.343267552686</c:v>
                </c:pt>
                <c:pt idx="8">
                  <c:v>23425.95975579707</c:v>
                </c:pt>
                <c:pt idx="9">
                  <c:v>23311.438617341406</c:v>
                </c:pt>
                <c:pt idx="10">
                  <c:v>23259.038004944086</c:v>
                </c:pt>
                <c:pt idx="11">
                  <c:v>23350.0572599312</c:v>
                </c:pt>
                <c:pt idx="12">
                  <c:v>23510.200916786995</c:v>
                </c:pt>
                <c:pt idx="13">
                  <c:v>23373.281117090679</c:v>
                </c:pt>
                <c:pt idx="14">
                  <c:v>23326.598875959076</c:v>
                </c:pt>
                <c:pt idx="15">
                  <c:v>23971.960310730145</c:v>
                </c:pt>
                <c:pt idx="16">
                  <c:v>24079.683244132106</c:v>
                </c:pt>
                <c:pt idx="17">
                  <c:v>24019.650608068281</c:v>
                </c:pt>
                <c:pt idx="18">
                  <c:v>23748.307585366962</c:v>
                </c:pt>
                <c:pt idx="19">
                  <c:v>23787.00502498382</c:v>
                </c:pt>
                <c:pt idx="20">
                  <c:v>24011.103555312922</c:v>
                </c:pt>
                <c:pt idx="21">
                  <c:v>24221.37079005938</c:v>
                </c:pt>
                <c:pt idx="22">
                  <c:v>23825.284780668582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759-46B5-908F-CC51FB0D9C94}"/>
            </c:ext>
          </c:extLst>
        </c:ser>
        <c:ser>
          <c:idx val="17"/>
          <c:order val="17"/>
          <c:tx>
            <c:strRef>
              <c:f>'NIFTY-Scientific, OPTION PRICIN'!$AA$1</c:f>
              <c:strCache>
                <c:ptCount val="1"/>
                <c:pt idx="0">
                  <c:v>Path 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PRICIN'!$AA$2:$AA$24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24073.303688413489</c:v>
                </c:pt>
                <c:pt idx="2">
                  <c:v>24341.809716403273</c:v>
                </c:pt>
                <c:pt idx="3">
                  <c:v>24419.26196264202</c:v>
                </c:pt>
                <c:pt idx="4">
                  <c:v>24073.076712747999</c:v>
                </c:pt>
                <c:pt idx="5">
                  <c:v>23841.675202203081</c:v>
                </c:pt>
                <c:pt idx="6">
                  <c:v>24004.669082737455</c:v>
                </c:pt>
                <c:pt idx="7">
                  <c:v>23681.835496517695</c:v>
                </c:pt>
                <c:pt idx="8">
                  <c:v>23820.931940740047</c:v>
                </c:pt>
                <c:pt idx="9">
                  <c:v>23955.550954922204</c:v>
                </c:pt>
                <c:pt idx="10">
                  <c:v>24238.257843014711</c:v>
                </c:pt>
                <c:pt idx="11">
                  <c:v>24064.115247991387</c:v>
                </c:pt>
                <c:pt idx="12">
                  <c:v>24042.53233979622</c:v>
                </c:pt>
                <c:pt idx="13">
                  <c:v>23985.351551091491</c:v>
                </c:pt>
                <c:pt idx="14">
                  <c:v>23612.55139892668</c:v>
                </c:pt>
                <c:pt idx="15">
                  <c:v>23312.109796471188</c:v>
                </c:pt>
                <c:pt idx="16">
                  <c:v>23346.813819439405</c:v>
                </c:pt>
                <c:pt idx="17">
                  <c:v>23074.659629511541</c:v>
                </c:pt>
                <c:pt idx="18">
                  <c:v>23201.691038401656</c:v>
                </c:pt>
                <c:pt idx="19">
                  <c:v>23017.098286256012</c:v>
                </c:pt>
                <c:pt idx="20">
                  <c:v>23072.034403634065</c:v>
                </c:pt>
                <c:pt idx="21">
                  <c:v>23279.969052017888</c:v>
                </c:pt>
                <c:pt idx="22">
                  <c:v>23358.766631482951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759-46B5-908F-CC51FB0D9C94}"/>
            </c:ext>
          </c:extLst>
        </c:ser>
        <c:ser>
          <c:idx val="18"/>
          <c:order val="18"/>
          <c:tx>
            <c:strRef>
              <c:f>'NIFTY-Scientific, OPTION PRICIN'!$AB$1</c:f>
              <c:strCache>
                <c:ptCount val="1"/>
                <c:pt idx="0">
                  <c:v>Path 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PRICIN'!$AB$2:$AB$24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24257.095827432382</c:v>
                </c:pt>
                <c:pt idx="2">
                  <c:v>24354.008617132939</c:v>
                </c:pt>
                <c:pt idx="3">
                  <c:v>24563.72251819884</c:v>
                </c:pt>
                <c:pt idx="4">
                  <c:v>24877.722884527957</c:v>
                </c:pt>
                <c:pt idx="5">
                  <c:v>25060.464055776854</c:v>
                </c:pt>
                <c:pt idx="6">
                  <c:v>25260.392777438421</c:v>
                </c:pt>
                <c:pt idx="7">
                  <c:v>25078.655672517605</c:v>
                </c:pt>
                <c:pt idx="8">
                  <c:v>24877.8016914461</c:v>
                </c:pt>
                <c:pt idx="9">
                  <c:v>25094.07885466321</c:v>
                </c:pt>
                <c:pt idx="10">
                  <c:v>25034.371404820995</c:v>
                </c:pt>
                <c:pt idx="11">
                  <c:v>24712.148643109358</c:v>
                </c:pt>
                <c:pt idx="12">
                  <c:v>24771.663945666478</c:v>
                </c:pt>
                <c:pt idx="13">
                  <c:v>24627.776888900935</c:v>
                </c:pt>
                <c:pt idx="14">
                  <c:v>24613.437290050639</c:v>
                </c:pt>
                <c:pt idx="15">
                  <c:v>24591.713898540715</c:v>
                </c:pt>
                <c:pt idx="16">
                  <c:v>25156.615732636474</c:v>
                </c:pt>
                <c:pt idx="17">
                  <c:v>25020.724667937517</c:v>
                </c:pt>
                <c:pt idx="18">
                  <c:v>25085.432779107945</c:v>
                </c:pt>
                <c:pt idx="19">
                  <c:v>24901.322737480295</c:v>
                </c:pt>
                <c:pt idx="20">
                  <c:v>25004.631647009908</c:v>
                </c:pt>
                <c:pt idx="21">
                  <c:v>25326.594344092249</c:v>
                </c:pt>
                <c:pt idx="22">
                  <c:v>25348.861877507363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759-46B5-908F-CC51FB0D9C94}"/>
            </c:ext>
          </c:extLst>
        </c:ser>
        <c:ser>
          <c:idx val="19"/>
          <c:order val="19"/>
          <c:tx>
            <c:strRef>
              <c:f>'NIFTY-Scientific, OPTION PRICIN'!$AC$1</c:f>
              <c:strCache>
                <c:ptCount val="1"/>
                <c:pt idx="0">
                  <c:v>Path 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PRICIN'!$AC$2:$AC$24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23636.312855069627</c:v>
                </c:pt>
                <c:pt idx="2">
                  <c:v>23541.831750024528</c:v>
                </c:pt>
                <c:pt idx="3">
                  <c:v>23566.819034368458</c:v>
                </c:pt>
                <c:pt idx="4">
                  <c:v>23316.593168377312</c:v>
                </c:pt>
                <c:pt idx="5">
                  <c:v>23485.464634470423</c:v>
                </c:pt>
                <c:pt idx="6">
                  <c:v>23578.695003858254</c:v>
                </c:pt>
                <c:pt idx="7">
                  <c:v>23509.252032279761</c:v>
                </c:pt>
                <c:pt idx="8">
                  <c:v>23438.583141873536</c:v>
                </c:pt>
                <c:pt idx="9">
                  <c:v>23715.931983968934</c:v>
                </c:pt>
                <c:pt idx="10">
                  <c:v>23926.583965121758</c:v>
                </c:pt>
                <c:pt idx="11">
                  <c:v>23810.793629777749</c:v>
                </c:pt>
                <c:pt idx="12">
                  <c:v>23551.389606654524</c:v>
                </c:pt>
                <c:pt idx="13">
                  <c:v>23987.688059949942</c:v>
                </c:pt>
                <c:pt idx="14">
                  <c:v>23914.706813297678</c:v>
                </c:pt>
                <c:pt idx="15">
                  <c:v>23977.694546060666</c:v>
                </c:pt>
                <c:pt idx="16">
                  <c:v>24081.096861183843</c:v>
                </c:pt>
                <c:pt idx="17">
                  <c:v>24030.147119387675</c:v>
                </c:pt>
                <c:pt idx="18">
                  <c:v>23898.861307892461</c:v>
                </c:pt>
                <c:pt idx="19">
                  <c:v>23693.736178379717</c:v>
                </c:pt>
                <c:pt idx="20">
                  <c:v>23583.429967532309</c:v>
                </c:pt>
                <c:pt idx="21">
                  <c:v>23658.840847219246</c:v>
                </c:pt>
                <c:pt idx="22">
                  <c:v>23374.148461367338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759-46B5-908F-CC51FB0D9C94}"/>
            </c:ext>
          </c:extLst>
        </c:ser>
        <c:ser>
          <c:idx val="20"/>
          <c:order val="20"/>
          <c:tx>
            <c:strRef>
              <c:f>'NIFTY-Scientific, OPTION PRICIN'!$AD$1</c:f>
              <c:strCache>
                <c:ptCount val="1"/>
                <c:pt idx="0">
                  <c:v>Path 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PRICIN'!$AD$2:$AD$24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23912.070754051041</c:v>
                </c:pt>
                <c:pt idx="2">
                  <c:v>23849.275704256179</c:v>
                </c:pt>
                <c:pt idx="3">
                  <c:v>23583.456240746997</c:v>
                </c:pt>
                <c:pt idx="4">
                  <c:v>23639.425007868656</c:v>
                </c:pt>
                <c:pt idx="5">
                  <c:v>23882.529975737416</c:v>
                </c:pt>
                <c:pt idx="6">
                  <c:v>24097.245830555436</c:v>
                </c:pt>
                <c:pt idx="7">
                  <c:v>24252.745468069166</c:v>
                </c:pt>
                <c:pt idx="8">
                  <c:v>24487.524155799907</c:v>
                </c:pt>
                <c:pt idx="9">
                  <c:v>24386.91354977111</c:v>
                </c:pt>
                <c:pt idx="10">
                  <c:v>23926.655883012234</c:v>
                </c:pt>
                <c:pt idx="11">
                  <c:v>23463.824338223196</c:v>
                </c:pt>
                <c:pt idx="12">
                  <c:v>23643.285368489011</c:v>
                </c:pt>
                <c:pt idx="13">
                  <c:v>23806.956797631578</c:v>
                </c:pt>
                <c:pt idx="14">
                  <c:v>24029.044688428032</c:v>
                </c:pt>
                <c:pt idx="15">
                  <c:v>24504.200109767804</c:v>
                </c:pt>
                <c:pt idx="16">
                  <c:v>24596.69036118962</c:v>
                </c:pt>
                <c:pt idx="17">
                  <c:v>24653.232529517449</c:v>
                </c:pt>
                <c:pt idx="18">
                  <c:v>24957.696640818231</c:v>
                </c:pt>
                <c:pt idx="19">
                  <c:v>25294.388244689315</c:v>
                </c:pt>
                <c:pt idx="20">
                  <c:v>25101.827371238869</c:v>
                </c:pt>
                <c:pt idx="21">
                  <c:v>25360.587640528829</c:v>
                </c:pt>
                <c:pt idx="22">
                  <c:v>25328.696213672774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759-46B5-908F-CC51FB0D9C94}"/>
            </c:ext>
          </c:extLst>
        </c:ser>
        <c:ser>
          <c:idx val="21"/>
          <c:order val="21"/>
          <c:tx>
            <c:strRef>
              <c:f>'NIFTY-Scientific, OPTION PRICIN'!$AE$1</c:f>
              <c:strCache>
                <c:ptCount val="1"/>
                <c:pt idx="0">
                  <c:v>Path 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PRICIN'!$AE$2:$AE$24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24422.241246700269</c:v>
                </c:pt>
                <c:pt idx="2">
                  <c:v>24226.740813666383</c:v>
                </c:pt>
                <c:pt idx="3">
                  <c:v>24453.210052324921</c:v>
                </c:pt>
                <c:pt idx="4">
                  <c:v>24347.253262602444</c:v>
                </c:pt>
                <c:pt idx="5">
                  <c:v>24242.151451648984</c:v>
                </c:pt>
                <c:pt idx="6">
                  <c:v>24162.509660019572</c:v>
                </c:pt>
                <c:pt idx="7">
                  <c:v>24141.375567802959</c:v>
                </c:pt>
                <c:pt idx="8">
                  <c:v>24066.075031624339</c:v>
                </c:pt>
                <c:pt idx="9">
                  <c:v>23826.337962634036</c:v>
                </c:pt>
                <c:pt idx="10">
                  <c:v>23518.107701286288</c:v>
                </c:pt>
                <c:pt idx="11">
                  <c:v>23664.142495337521</c:v>
                </c:pt>
                <c:pt idx="12">
                  <c:v>23948.045739056288</c:v>
                </c:pt>
                <c:pt idx="13">
                  <c:v>24248.072280818236</c:v>
                </c:pt>
                <c:pt idx="14">
                  <c:v>24145.503896383914</c:v>
                </c:pt>
                <c:pt idx="15">
                  <c:v>24113.751759689658</c:v>
                </c:pt>
                <c:pt idx="16">
                  <c:v>24077.725571211158</c:v>
                </c:pt>
                <c:pt idx="17">
                  <c:v>23940.541851406531</c:v>
                </c:pt>
                <c:pt idx="18">
                  <c:v>23897.342496469431</c:v>
                </c:pt>
                <c:pt idx="19">
                  <c:v>23541.66712594936</c:v>
                </c:pt>
                <c:pt idx="20">
                  <c:v>23872.474146864031</c:v>
                </c:pt>
                <c:pt idx="21">
                  <c:v>23881.81627750914</c:v>
                </c:pt>
                <c:pt idx="22">
                  <c:v>23816.63568510949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759-46B5-908F-CC51FB0D9C94}"/>
            </c:ext>
          </c:extLst>
        </c:ser>
        <c:ser>
          <c:idx val="22"/>
          <c:order val="22"/>
          <c:tx>
            <c:strRef>
              <c:f>'NIFTY-Scientific, OPTION PRICIN'!$AF$1</c:f>
              <c:strCache>
                <c:ptCount val="1"/>
                <c:pt idx="0">
                  <c:v>Path 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PRICIN'!$AF$2:$AF$24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24266.236292888163</c:v>
                </c:pt>
                <c:pt idx="2">
                  <c:v>23966.77380965979</c:v>
                </c:pt>
                <c:pt idx="3">
                  <c:v>24307.534130800766</c:v>
                </c:pt>
                <c:pt idx="4">
                  <c:v>24149.092788734306</c:v>
                </c:pt>
                <c:pt idx="5">
                  <c:v>24367.88706953701</c:v>
                </c:pt>
                <c:pt idx="6">
                  <c:v>24379.274578598721</c:v>
                </c:pt>
                <c:pt idx="7">
                  <c:v>24488.896484486089</c:v>
                </c:pt>
                <c:pt idx="8">
                  <c:v>24709.808182218942</c:v>
                </c:pt>
                <c:pt idx="9">
                  <c:v>24529.97607499615</c:v>
                </c:pt>
                <c:pt idx="10">
                  <c:v>24523.527967380305</c:v>
                </c:pt>
                <c:pt idx="11">
                  <c:v>24177.20178103121</c:v>
                </c:pt>
                <c:pt idx="12">
                  <c:v>24211.140698878673</c:v>
                </c:pt>
                <c:pt idx="13">
                  <c:v>24232.503942726591</c:v>
                </c:pt>
                <c:pt idx="14">
                  <c:v>24266.737140861609</c:v>
                </c:pt>
                <c:pt idx="15">
                  <c:v>24328.846979872029</c:v>
                </c:pt>
                <c:pt idx="16">
                  <c:v>23807.288340469513</c:v>
                </c:pt>
                <c:pt idx="17">
                  <c:v>23927.233323149223</c:v>
                </c:pt>
                <c:pt idx="18">
                  <c:v>24119.830734548348</c:v>
                </c:pt>
                <c:pt idx="19">
                  <c:v>24211.979591803905</c:v>
                </c:pt>
                <c:pt idx="20">
                  <c:v>24490.76390282713</c:v>
                </c:pt>
                <c:pt idx="21">
                  <c:v>24116.370404018915</c:v>
                </c:pt>
                <c:pt idx="22">
                  <c:v>24099.032920207843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759-46B5-908F-CC51FB0D9C94}"/>
            </c:ext>
          </c:extLst>
        </c:ser>
        <c:ser>
          <c:idx val="23"/>
          <c:order val="23"/>
          <c:tx>
            <c:strRef>
              <c:f>'NIFTY-Scientific, OPTION PRICIN'!$AG$1</c:f>
              <c:strCache>
                <c:ptCount val="1"/>
                <c:pt idx="0">
                  <c:v>Path 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PRICIN'!$AG$2:$AG$24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23662.754006486441</c:v>
                </c:pt>
                <c:pt idx="2">
                  <c:v>23760.046464729643</c:v>
                </c:pt>
                <c:pt idx="3">
                  <c:v>23661.070223016675</c:v>
                </c:pt>
                <c:pt idx="4">
                  <c:v>23499.354690837779</c:v>
                </c:pt>
                <c:pt idx="5">
                  <c:v>23503.479464599219</c:v>
                </c:pt>
                <c:pt idx="6">
                  <c:v>23570.917613208971</c:v>
                </c:pt>
                <c:pt idx="7">
                  <c:v>23810.965878379433</c:v>
                </c:pt>
                <c:pt idx="8">
                  <c:v>23467.135745568521</c:v>
                </c:pt>
                <c:pt idx="9">
                  <c:v>23504.773830579055</c:v>
                </c:pt>
                <c:pt idx="10">
                  <c:v>23516.594432013782</c:v>
                </c:pt>
                <c:pt idx="11">
                  <c:v>23538.138761999828</c:v>
                </c:pt>
                <c:pt idx="12">
                  <c:v>23600.791591284316</c:v>
                </c:pt>
                <c:pt idx="13">
                  <c:v>23763.973247815877</c:v>
                </c:pt>
                <c:pt idx="14">
                  <c:v>23980.247465019274</c:v>
                </c:pt>
                <c:pt idx="15">
                  <c:v>24359.055092778093</c:v>
                </c:pt>
                <c:pt idx="16">
                  <c:v>24038.8026151876</c:v>
                </c:pt>
                <c:pt idx="17">
                  <c:v>24072.427256136561</c:v>
                </c:pt>
                <c:pt idx="18">
                  <c:v>24278.235840638732</c:v>
                </c:pt>
                <c:pt idx="19">
                  <c:v>24390.783336518169</c:v>
                </c:pt>
                <c:pt idx="20">
                  <c:v>24409.60743383551</c:v>
                </c:pt>
                <c:pt idx="21">
                  <c:v>24626.55063023456</c:v>
                </c:pt>
                <c:pt idx="22">
                  <c:v>24573.055651498045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759-46B5-908F-CC51FB0D9C94}"/>
            </c:ext>
          </c:extLst>
        </c:ser>
        <c:ser>
          <c:idx val="24"/>
          <c:order val="24"/>
          <c:tx>
            <c:strRef>
              <c:f>'NIFTY-Scientific, OPTION PRICIN'!$AH$1</c:f>
              <c:strCache>
                <c:ptCount val="1"/>
                <c:pt idx="0">
                  <c:v>Path 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PRICIN'!$AH$2:$AH$24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24008.359840885285</c:v>
                </c:pt>
                <c:pt idx="2">
                  <c:v>23958.05112503091</c:v>
                </c:pt>
                <c:pt idx="3">
                  <c:v>24301.132784062538</c:v>
                </c:pt>
                <c:pt idx="4">
                  <c:v>24436.151911296391</c:v>
                </c:pt>
                <c:pt idx="5">
                  <c:v>24483.076262887716</c:v>
                </c:pt>
                <c:pt idx="6">
                  <c:v>24857.306880216303</c:v>
                </c:pt>
                <c:pt idx="7">
                  <c:v>24828.309002671111</c:v>
                </c:pt>
                <c:pt idx="8">
                  <c:v>25222.217290763314</c:v>
                </c:pt>
                <c:pt idx="9">
                  <c:v>25609.106333771255</c:v>
                </c:pt>
                <c:pt idx="10">
                  <c:v>25818.197445686652</c:v>
                </c:pt>
                <c:pt idx="11">
                  <c:v>26086.99821159663</c:v>
                </c:pt>
                <c:pt idx="12">
                  <c:v>25973.850516889277</c:v>
                </c:pt>
                <c:pt idx="13">
                  <c:v>25833.955843536518</c:v>
                </c:pt>
                <c:pt idx="14">
                  <c:v>25808.81035833418</c:v>
                </c:pt>
                <c:pt idx="15">
                  <c:v>26290.815975165748</c:v>
                </c:pt>
                <c:pt idx="16">
                  <c:v>26538.387577241523</c:v>
                </c:pt>
                <c:pt idx="17">
                  <c:v>26695.475043892046</c:v>
                </c:pt>
                <c:pt idx="18">
                  <c:v>26786.391725406764</c:v>
                </c:pt>
                <c:pt idx="19">
                  <c:v>26358.433134717005</c:v>
                </c:pt>
                <c:pt idx="20">
                  <c:v>26182.210249251086</c:v>
                </c:pt>
                <c:pt idx="21">
                  <c:v>26521.392933453786</c:v>
                </c:pt>
                <c:pt idx="22">
                  <c:v>26637.891814290022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759-46B5-908F-CC51FB0D9C94}"/>
            </c:ext>
          </c:extLst>
        </c:ser>
        <c:ser>
          <c:idx val="25"/>
          <c:order val="25"/>
          <c:tx>
            <c:strRef>
              <c:f>'NIFTY-Scientific, OPTION PRICIN'!$AI$1</c:f>
              <c:strCache>
                <c:ptCount val="1"/>
                <c:pt idx="0">
                  <c:v>Path 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PRICIN'!$AI$2:$AI$24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24208.93645895131</c:v>
                </c:pt>
                <c:pt idx="2">
                  <c:v>24277.130829792786</c:v>
                </c:pt>
                <c:pt idx="3">
                  <c:v>24274.048784485265</c:v>
                </c:pt>
                <c:pt idx="4">
                  <c:v>24389.936571728311</c:v>
                </c:pt>
                <c:pt idx="5">
                  <c:v>24371.758867269004</c:v>
                </c:pt>
                <c:pt idx="6">
                  <c:v>24367.931028735104</c:v>
                </c:pt>
                <c:pt idx="7">
                  <c:v>24095.880860918176</c:v>
                </c:pt>
                <c:pt idx="8">
                  <c:v>24073.159584537159</c:v>
                </c:pt>
                <c:pt idx="9">
                  <c:v>23937.622263697835</c:v>
                </c:pt>
                <c:pt idx="10">
                  <c:v>23706.012357651831</c:v>
                </c:pt>
                <c:pt idx="11">
                  <c:v>23752.2299771463</c:v>
                </c:pt>
                <c:pt idx="12">
                  <c:v>23851.697385197429</c:v>
                </c:pt>
                <c:pt idx="13">
                  <c:v>23754.750100228903</c:v>
                </c:pt>
                <c:pt idx="14">
                  <c:v>24084.140982006025</c:v>
                </c:pt>
                <c:pt idx="15">
                  <c:v>24430.429742087079</c:v>
                </c:pt>
                <c:pt idx="16">
                  <c:v>24491.690276766443</c:v>
                </c:pt>
                <c:pt idx="17">
                  <c:v>24677.580897807453</c:v>
                </c:pt>
                <c:pt idx="18">
                  <c:v>25014.108189159793</c:v>
                </c:pt>
                <c:pt idx="19">
                  <c:v>25111.884884798001</c:v>
                </c:pt>
                <c:pt idx="20">
                  <c:v>24937.80730677379</c:v>
                </c:pt>
                <c:pt idx="21">
                  <c:v>25171.55936452177</c:v>
                </c:pt>
                <c:pt idx="22">
                  <c:v>25314.09358583032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759-46B5-908F-CC51FB0D9C94}"/>
            </c:ext>
          </c:extLst>
        </c:ser>
        <c:ser>
          <c:idx val="26"/>
          <c:order val="26"/>
          <c:tx>
            <c:strRef>
              <c:f>'NIFTY-Scientific, OPTION PRICIN'!$AJ$1</c:f>
              <c:strCache>
                <c:ptCount val="1"/>
                <c:pt idx="0">
                  <c:v>Path 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PRICIN'!$AJ$2:$AJ$24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23934.573636426041</c:v>
                </c:pt>
                <c:pt idx="2">
                  <c:v>24032.599988494021</c:v>
                </c:pt>
                <c:pt idx="3">
                  <c:v>24128.687066070041</c:v>
                </c:pt>
                <c:pt idx="4">
                  <c:v>23924.522983319068</c:v>
                </c:pt>
                <c:pt idx="5">
                  <c:v>23744.357206655499</c:v>
                </c:pt>
                <c:pt idx="6">
                  <c:v>23409.808470102991</c:v>
                </c:pt>
                <c:pt idx="7">
                  <c:v>23054.858647493893</c:v>
                </c:pt>
                <c:pt idx="8">
                  <c:v>23169.690304983869</c:v>
                </c:pt>
                <c:pt idx="9">
                  <c:v>23570.459640644945</c:v>
                </c:pt>
                <c:pt idx="10">
                  <c:v>23677.532279112835</c:v>
                </c:pt>
                <c:pt idx="11">
                  <c:v>23455.43350194252</c:v>
                </c:pt>
                <c:pt idx="12">
                  <c:v>23450.750070780075</c:v>
                </c:pt>
                <c:pt idx="13">
                  <c:v>23267.15068912163</c:v>
                </c:pt>
                <c:pt idx="14">
                  <c:v>22956.111293694397</c:v>
                </c:pt>
                <c:pt idx="15">
                  <c:v>22637.866942253047</c:v>
                </c:pt>
                <c:pt idx="16">
                  <c:v>22804.758411065119</c:v>
                </c:pt>
                <c:pt idx="17">
                  <c:v>22638.377811043501</c:v>
                </c:pt>
                <c:pt idx="18">
                  <c:v>22423.949164129339</c:v>
                </c:pt>
                <c:pt idx="19">
                  <c:v>22440.750207331555</c:v>
                </c:pt>
                <c:pt idx="20">
                  <c:v>22616.963920299619</c:v>
                </c:pt>
                <c:pt idx="21">
                  <c:v>22768.862806879399</c:v>
                </c:pt>
                <c:pt idx="22">
                  <c:v>22741.758692807987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759-46B5-908F-CC51FB0D9C94}"/>
            </c:ext>
          </c:extLst>
        </c:ser>
        <c:ser>
          <c:idx val="27"/>
          <c:order val="27"/>
          <c:tx>
            <c:strRef>
              <c:f>'NIFTY-Scientific, OPTION PRICIN'!$AK$1</c:f>
              <c:strCache>
                <c:ptCount val="1"/>
                <c:pt idx="0">
                  <c:v>Path 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PRICIN'!$AK$2:$AK$24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24333.630763594298</c:v>
                </c:pt>
                <c:pt idx="2">
                  <c:v>24259.282671649187</c:v>
                </c:pt>
                <c:pt idx="3">
                  <c:v>23860.731080960144</c:v>
                </c:pt>
                <c:pt idx="4">
                  <c:v>24589.75698793535</c:v>
                </c:pt>
                <c:pt idx="5">
                  <c:v>24388.419236806982</c:v>
                </c:pt>
                <c:pt idx="6">
                  <c:v>24332.481043996631</c:v>
                </c:pt>
                <c:pt idx="7">
                  <c:v>24190.00516682964</c:v>
                </c:pt>
                <c:pt idx="8">
                  <c:v>24145.906687058596</c:v>
                </c:pt>
                <c:pt idx="9">
                  <c:v>24346.148495734655</c:v>
                </c:pt>
                <c:pt idx="10">
                  <c:v>24597.96361987678</c:v>
                </c:pt>
                <c:pt idx="11">
                  <c:v>24647.235810471684</c:v>
                </c:pt>
                <c:pt idx="12">
                  <c:v>24708.678023779667</c:v>
                </c:pt>
                <c:pt idx="13">
                  <c:v>24380.298290600476</c:v>
                </c:pt>
                <c:pt idx="14">
                  <c:v>23821.550712089094</c:v>
                </c:pt>
                <c:pt idx="15">
                  <c:v>23780.689994437598</c:v>
                </c:pt>
                <c:pt idx="16">
                  <c:v>23724.711065611518</c:v>
                </c:pt>
                <c:pt idx="17">
                  <c:v>23695.495671192679</c:v>
                </c:pt>
                <c:pt idx="18">
                  <c:v>23634.968733457281</c:v>
                </c:pt>
                <c:pt idx="19">
                  <c:v>23901.993677285249</c:v>
                </c:pt>
                <c:pt idx="20">
                  <c:v>23847.816878896803</c:v>
                </c:pt>
                <c:pt idx="21">
                  <c:v>23828.427434064546</c:v>
                </c:pt>
                <c:pt idx="22">
                  <c:v>24502.759335327173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759-46B5-908F-CC51FB0D9C94}"/>
            </c:ext>
          </c:extLst>
        </c:ser>
        <c:ser>
          <c:idx val="28"/>
          <c:order val="28"/>
          <c:tx>
            <c:strRef>
              <c:f>'NIFTY-Scientific, OPTION PRICIN'!$AL$1</c:f>
              <c:strCache>
                <c:ptCount val="1"/>
                <c:pt idx="0">
                  <c:v>Path 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PRICIN'!$AL$2:$AL$24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24066.646854117622</c:v>
                </c:pt>
                <c:pt idx="2">
                  <c:v>24025.554367751116</c:v>
                </c:pt>
                <c:pt idx="3">
                  <c:v>23892.144787203921</c:v>
                </c:pt>
                <c:pt idx="4">
                  <c:v>23711.430209721555</c:v>
                </c:pt>
                <c:pt idx="5">
                  <c:v>24133.875852037672</c:v>
                </c:pt>
                <c:pt idx="6">
                  <c:v>24600.90518596983</c:v>
                </c:pt>
                <c:pt idx="7">
                  <c:v>24464.745636956606</c:v>
                </c:pt>
                <c:pt idx="8">
                  <c:v>24176.376797023106</c:v>
                </c:pt>
                <c:pt idx="9">
                  <c:v>24298.482774707965</c:v>
                </c:pt>
                <c:pt idx="10">
                  <c:v>24273.41833568865</c:v>
                </c:pt>
                <c:pt idx="11">
                  <c:v>24619.614558466346</c:v>
                </c:pt>
                <c:pt idx="12">
                  <c:v>24533.768749642859</c:v>
                </c:pt>
                <c:pt idx="13">
                  <c:v>24109.88448702998</c:v>
                </c:pt>
                <c:pt idx="14">
                  <c:v>24017.737659436083</c:v>
                </c:pt>
                <c:pt idx="15">
                  <c:v>23803.006535497021</c:v>
                </c:pt>
                <c:pt idx="16">
                  <c:v>23656.695641618844</c:v>
                </c:pt>
                <c:pt idx="17">
                  <c:v>23720.289169867556</c:v>
                </c:pt>
                <c:pt idx="18">
                  <c:v>23794.348137597215</c:v>
                </c:pt>
                <c:pt idx="19">
                  <c:v>24051.488512966465</c:v>
                </c:pt>
                <c:pt idx="20">
                  <c:v>23966.546433508298</c:v>
                </c:pt>
                <c:pt idx="21">
                  <c:v>23841.955682084874</c:v>
                </c:pt>
                <c:pt idx="22">
                  <c:v>24210.381790868621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759-46B5-908F-CC51FB0D9C94}"/>
            </c:ext>
          </c:extLst>
        </c:ser>
        <c:ser>
          <c:idx val="29"/>
          <c:order val="29"/>
          <c:tx>
            <c:strRef>
              <c:f>'NIFTY-Scientific, OPTION PRICIN'!$AM$1</c:f>
              <c:strCache>
                <c:ptCount val="1"/>
                <c:pt idx="0">
                  <c:v>Path 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PRICIN'!$AM$2:$AM$24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24330.824761022759</c:v>
                </c:pt>
                <c:pt idx="2">
                  <c:v>24401.165486290203</c:v>
                </c:pt>
                <c:pt idx="3">
                  <c:v>24223.591865524231</c:v>
                </c:pt>
                <c:pt idx="4">
                  <c:v>24059.59547328886</c:v>
                </c:pt>
                <c:pt idx="5">
                  <c:v>24299.036137999836</c:v>
                </c:pt>
                <c:pt idx="6">
                  <c:v>24474.443586000063</c:v>
                </c:pt>
                <c:pt idx="7">
                  <c:v>24264.183462101493</c:v>
                </c:pt>
                <c:pt idx="8">
                  <c:v>24395.475522070006</c:v>
                </c:pt>
                <c:pt idx="9">
                  <c:v>24346.791860180943</c:v>
                </c:pt>
                <c:pt idx="10">
                  <c:v>24194.639369936147</c:v>
                </c:pt>
                <c:pt idx="11">
                  <c:v>24184.260211566536</c:v>
                </c:pt>
                <c:pt idx="12">
                  <c:v>24279.68515362102</c:v>
                </c:pt>
                <c:pt idx="13">
                  <c:v>24032.404868313904</c:v>
                </c:pt>
                <c:pt idx="14">
                  <c:v>24032.806831851321</c:v>
                </c:pt>
                <c:pt idx="15">
                  <c:v>24179.939273144206</c:v>
                </c:pt>
                <c:pt idx="16">
                  <c:v>24293.84013512051</c:v>
                </c:pt>
                <c:pt idx="17">
                  <c:v>24227.41633868498</c:v>
                </c:pt>
                <c:pt idx="18">
                  <c:v>23852.624932418934</c:v>
                </c:pt>
                <c:pt idx="19">
                  <c:v>23456.735345425699</c:v>
                </c:pt>
                <c:pt idx="20">
                  <c:v>23788.749056779961</c:v>
                </c:pt>
                <c:pt idx="21">
                  <c:v>23781.084146533925</c:v>
                </c:pt>
                <c:pt idx="22">
                  <c:v>23651.168128940801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759-46B5-908F-CC51FB0D9C94}"/>
            </c:ext>
          </c:extLst>
        </c:ser>
        <c:ser>
          <c:idx val="30"/>
          <c:order val="30"/>
          <c:tx>
            <c:strRef>
              <c:f>'NIFTY-Scientific, OPTION PRICIN'!$AN$1</c:f>
              <c:strCache>
                <c:ptCount val="1"/>
                <c:pt idx="0">
                  <c:v>Path 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PRICIN'!$AN$2:$AN$24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24194.25967956008</c:v>
                </c:pt>
                <c:pt idx="2">
                  <c:v>24166.072421746579</c:v>
                </c:pt>
                <c:pt idx="3">
                  <c:v>24076.638202392995</c:v>
                </c:pt>
                <c:pt idx="4">
                  <c:v>24217.234824453219</c:v>
                </c:pt>
                <c:pt idx="5">
                  <c:v>24006.167722004942</c:v>
                </c:pt>
                <c:pt idx="6">
                  <c:v>24272.758293568972</c:v>
                </c:pt>
                <c:pt idx="7">
                  <c:v>24594.170864622261</c:v>
                </c:pt>
                <c:pt idx="8">
                  <c:v>24676.240180782243</c:v>
                </c:pt>
                <c:pt idx="9">
                  <c:v>24830.309990479109</c:v>
                </c:pt>
                <c:pt idx="10">
                  <c:v>24996.528915693027</c:v>
                </c:pt>
                <c:pt idx="11">
                  <c:v>25230.472706656699</c:v>
                </c:pt>
                <c:pt idx="12">
                  <c:v>24718.961856201662</c:v>
                </c:pt>
                <c:pt idx="13">
                  <c:v>24471.26985737374</c:v>
                </c:pt>
                <c:pt idx="14">
                  <c:v>24291.140725762529</c:v>
                </c:pt>
                <c:pt idx="15">
                  <c:v>24004.067891469069</c:v>
                </c:pt>
                <c:pt idx="16">
                  <c:v>23839.611579943306</c:v>
                </c:pt>
                <c:pt idx="17">
                  <c:v>23521.889911162038</c:v>
                </c:pt>
                <c:pt idx="18">
                  <c:v>23403.647633244229</c:v>
                </c:pt>
                <c:pt idx="19">
                  <c:v>23660.673559238829</c:v>
                </c:pt>
                <c:pt idx="20">
                  <c:v>23664.909270411226</c:v>
                </c:pt>
                <c:pt idx="21">
                  <c:v>23375.411115866664</c:v>
                </c:pt>
                <c:pt idx="22">
                  <c:v>23566.971398802365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759-46B5-908F-CC51FB0D9C94}"/>
            </c:ext>
          </c:extLst>
        </c:ser>
        <c:ser>
          <c:idx val="31"/>
          <c:order val="31"/>
          <c:tx>
            <c:strRef>
              <c:f>'NIFTY-Scientific, OPTION PRICIN'!$AO$1</c:f>
              <c:strCache>
                <c:ptCount val="1"/>
                <c:pt idx="0">
                  <c:v>Path 32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PRICIN'!$AO$2:$AO$24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24336.471380183382</c:v>
                </c:pt>
                <c:pt idx="2">
                  <c:v>24389.228989806292</c:v>
                </c:pt>
                <c:pt idx="3">
                  <c:v>24435.3339312799</c:v>
                </c:pt>
                <c:pt idx="4">
                  <c:v>24899.346945273548</c:v>
                </c:pt>
                <c:pt idx="5">
                  <c:v>24714.960077785519</c:v>
                </c:pt>
                <c:pt idx="6">
                  <c:v>24552.857042938467</c:v>
                </c:pt>
                <c:pt idx="7">
                  <c:v>24128.012494124516</c:v>
                </c:pt>
                <c:pt idx="8">
                  <c:v>24100.155150034876</c:v>
                </c:pt>
                <c:pt idx="9">
                  <c:v>24208.148139538891</c:v>
                </c:pt>
                <c:pt idx="10">
                  <c:v>24233.87935622365</c:v>
                </c:pt>
                <c:pt idx="11">
                  <c:v>24309.151249809678</c:v>
                </c:pt>
                <c:pt idx="12">
                  <c:v>24349.482297802042</c:v>
                </c:pt>
                <c:pt idx="13">
                  <c:v>24669.694179672548</c:v>
                </c:pt>
                <c:pt idx="14">
                  <c:v>24658.041021236197</c:v>
                </c:pt>
                <c:pt idx="15">
                  <c:v>24746.618891662722</c:v>
                </c:pt>
                <c:pt idx="16">
                  <c:v>25137.895687435575</c:v>
                </c:pt>
                <c:pt idx="17">
                  <c:v>24904.725145170967</c:v>
                </c:pt>
                <c:pt idx="18">
                  <c:v>24948.967264626877</c:v>
                </c:pt>
                <c:pt idx="19">
                  <c:v>24885.284769014102</c:v>
                </c:pt>
                <c:pt idx="20">
                  <c:v>24879.760205282055</c:v>
                </c:pt>
                <c:pt idx="21">
                  <c:v>24626.649336135113</c:v>
                </c:pt>
                <c:pt idx="22">
                  <c:v>24667.892325296609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759-46B5-908F-CC51FB0D9C94}"/>
            </c:ext>
          </c:extLst>
        </c:ser>
        <c:ser>
          <c:idx val="32"/>
          <c:order val="32"/>
          <c:tx>
            <c:strRef>
              <c:f>'NIFTY-Scientific, OPTION PRICIN'!$AP$1</c:f>
              <c:strCache>
                <c:ptCount val="1"/>
                <c:pt idx="0">
                  <c:v>Path 33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PRICIN'!$AP$2:$AP$24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23921.570669664317</c:v>
                </c:pt>
                <c:pt idx="2">
                  <c:v>23745.408866970211</c:v>
                </c:pt>
                <c:pt idx="3">
                  <c:v>23834.379744016362</c:v>
                </c:pt>
                <c:pt idx="4">
                  <c:v>23574.483806687516</c:v>
                </c:pt>
                <c:pt idx="5">
                  <c:v>23640.795281066283</c:v>
                </c:pt>
                <c:pt idx="6">
                  <c:v>23718.914124466126</c:v>
                </c:pt>
                <c:pt idx="7">
                  <c:v>23609.394677705564</c:v>
                </c:pt>
                <c:pt idx="8">
                  <c:v>23623.881745819974</c:v>
                </c:pt>
                <c:pt idx="9">
                  <c:v>23616.458572976429</c:v>
                </c:pt>
                <c:pt idx="10">
                  <c:v>23447.449986432301</c:v>
                </c:pt>
                <c:pt idx="11">
                  <c:v>23329.522199692943</c:v>
                </c:pt>
                <c:pt idx="12">
                  <c:v>23383.990244526307</c:v>
                </c:pt>
                <c:pt idx="13">
                  <c:v>23449.491564488981</c:v>
                </c:pt>
                <c:pt idx="14">
                  <c:v>23516.773937238802</c:v>
                </c:pt>
                <c:pt idx="15">
                  <c:v>23775.670408606988</c:v>
                </c:pt>
                <c:pt idx="16">
                  <c:v>23322.566061087979</c:v>
                </c:pt>
                <c:pt idx="17">
                  <c:v>23419.506553935855</c:v>
                </c:pt>
                <c:pt idx="18">
                  <c:v>23420.180952108964</c:v>
                </c:pt>
                <c:pt idx="19">
                  <c:v>23716.937980523042</c:v>
                </c:pt>
                <c:pt idx="20">
                  <c:v>23722.035818175416</c:v>
                </c:pt>
                <c:pt idx="21">
                  <c:v>23948.249308620008</c:v>
                </c:pt>
                <c:pt idx="22">
                  <c:v>23855.770514806372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759-46B5-908F-CC51FB0D9C94}"/>
            </c:ext>
          </c:extLst>
        </c:ser>
        <c:ser>
          <c:idx val="33"/>
          <c:order val="33"/>
          <c:tx>
            <c:strRef>
              <c:f>'NIFTY-Scientific, OPTION PRICIN'!$AQ$1</c:f>
              <c:strCache>
                <c:ptCount val="1"/>
                <c:pt idx="0">
                  <c:v>Path 34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PRICIN'!$AQ$2:$AQ$24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24323.360379199894</c:v>
                </c:pt>
                <c:pt idx="2">
                  <c:v>24660.349699200215</c:v>
                </c:pt>
                <c:pt idx="3">
                  <c:v>24281.734775467936</c:v>
                </c:pt>
                <c:pt idx="4">
                  <c:v>24211.346710622573</c:v>
                </c:pt>
                <c:pt idx="5">
                  <c:v>24087.123908721984</c:v>
                </c:pt>
                <c:pt idx="6">
                  <c:v>24309.176988856623</c:v>
                </c:pt>
                <c:pt idx="7">
                  <c:v>24354.102753435483</c:v>
                </c:pt>
                <c:pt idx="8">
                  <c:v>24259.802759334048</c:v>
                </c:pt>
                <c:pt idx="9">
                  <c:v>24180.825866697065</c:v>
                </c:pt>
                <c:pt idx="10">
                  <c:v>24447.449159836284</c:v>
                </c:pt>
                <c:pt idx="11">
                  <c:v>24475.630647879116</c:v>
                </c:pt>
                <c:pt idx="12">
                  <c:v>24729.297035658496</c:v>
                </c:pt>
                <c:pt idx="13">
                  <c:v>24797.135519021263</c:v>
                </c:pt>
                <c:pt idx="14">
                  <c:v>25122.494954029586</c:v>
                </c:pt>
                <c:pt idx="15">
                  <c:v>25281.137991183896</c:v>
                </c:pt>
                <c:pt idx="16">
                  <c:v>25606.339778527588</c:v>
                </c:pt>
                <c:pt idx="17">
                  <c:v>25256.876624641587</c:v>
                </c:pt>
                <c:pt idx="18">
                  <c:v>25515.936739059343</c:v>
                </c:pt>
                <c:pt idx="19">
                  <c:v>25548.564566768466</c:v>
                </c:pt>
                <c:pt idx="20">
                  <c:v>25187.910071269325</c:v>
                </c:pt>
                <c:pt idx="21">
                  <c:v>25127.539978683701</c:v>
                </c:pt>
                <c:pt idx="22">
                  <c:v>24935.605592996621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759-46B5-908F-CC51FB0D9C94}"/>
            </c:ext>
          </c:extLst>
        </c:ser>
        <c:ser>
          <c:idx val="34"/>
          <c:order val="34"/>
          <c:tx>
            <c:strRef>
              <c:f>'NIFTY-Scientific, OPTION PRICIN'!$AR$1</c:f>
              <c:strCache>
                <c:ptCount val="1"/>
                <c:pt idx="0">
                  <c:v>Path 35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PRICIN'!$AR$2:$AR$24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24033.809041462806</c:v>
                </c:pt>
                <c:pt idx="2">
                  <c:v>23741.006962915806</c:v>
                </c:pt>
                <c:pt idx="3">
                  <c:v>23990.256993858347</c:v>
                </c:pt>
                <c:pt idx="4">
                  <c:v>24217.040317673414</c:v>
                </c:pt>
                <c:pt idx="5">
                  <c:v>23971.598645756185</c:v>
                </c:pt>
                <c:pt idx="6">
                  <c:v>24142.153474762079</c:v>
                </c:pt>
                <c:pt idx="7">
                  <c:v>24269.429420200893</c:v>
                </c:pt>
                <c:pt idx="8">
                  <c:v>24201.860808790996</c:v>
                </c:pt>
                <c:pt idx="9">
                  <c:v>24262.685504089906</c:v>
                </c:pt>
                <c:pt idx="10">
                  <c:v>24280.048494875275</c:v>
                </c:pt>
                <c:pt idx="11">
                  <c:v>24252.416020122939</c:v>
                </c:pt>
                <c:pt idx="12">
                  <c:v>24233.277789988591</c:v>
                </c:pt>
                <c:pt idx="13">
                  <c:v>24168.537880253578</c:v>
                </c:pt>
                <c:pt idx="14">
                  <c:v>24176.51045795601</c:v>
                </c:pt>
                <c:pt idx="15">
                  <c:v>24557.401709495836</c:v>
                </c:pt>
                <c:pt idx="16">
                  <c:v>24458.703655898345</c:v>
                </c:pt>
                <c:pt idx="17">
                  <c:v>24448.098259000108</c:v>
                </c:pt>
                <c:pt idx="18">
                  <c:v>24699.856280895241</c:v>
                </c:pt>
                <c:pt idx="19">
                  <c:v>24733.433429227174</c:v>
                </c:pt>
                <c:pt idx="20">
                  <c:v>24591.340646728113</c:v>
                </c:pt>
                <c:pt idx="21">
                  <c:v>24797.74367607903</c:v>
                </c:pt>
                <c:pt idx="22">
                  <c:v>24568.356822525464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759-46B5-908F-CC51FB0D9C94}"/>
            </c:ext>
          </c:extLst>
        </c:ser>
        <c:ser>
          <c:idx val="35"/>
          <c:order val="35"/>
          <c:tx>
            <c:strRef>
              <c:f>'NIFTY-Scientific, OPTION PRICIN'!$AS$1</c:f>
              <c:strCache>
                <c:ptCount val="1"/>
                <c:pt idx="0">
                  <c:v>Path 36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PRICIN'!$AS$2:$AS$24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24095.127838043729</c:v>
                </c:pt>
                <c:pt idx="2">
                  <c:v>23922.211301505034</c:v>
                </c:pt>
                <c:pt idx="3">
                  <c:v>23926.442138989645</c:v>
                </c:pt>
                <c:pt idx="4">
                  <c:v>24080.703609615619</c:v>
                </c:pt>
                <c:pt idx="5">
                  <c:v>24370.177644981446</c:v>
                </c:pt>
                <c:pt idx="6">
                  <c:v>24370.903003589134</c:v>
                </c:pt>
                <c:pt idx="7">
                  <c:v>24628.624133915338</c:v>
                </c:pt>
                <c:pt idx="8">
                  <c:v>24674.003995943072</c:v>
                </c:pt>
                <c:pt idx="9">
                  <c:v>24745.804580535245</c:v>
                </c:pt>
                <c:pt idx="10">
                  <c:v>24953.642851009612</c:v>
                </c:pt>
                <c:pt idx="11">
                  <c:v>25411.209879941991</c:v>
                </c:pt>
                <c:pt idx="12">
                  <c:v>25637.533265016027</c:v>
                </c:pt>
                <c:pt idx="13">
                  <c:v>25766.19376973412</c:v>
                </c:pt>
                <c:pt idx="14">
                  <c:v>25375.575708419419</c:v>
                </c:pt>
                <c:pt idx="15">
                  <c:v>25625.748279037944</c:v>
                </c:pt>
                <c:pt idx="16">
                  <c:v>25682.647215006582</c:v>
                </c:pt>
                <c:pt idx="17">
                  <c:v>25460.427014030174</c:v>
                </c:pt>
                <c:pt idx="18">
                  <c:v>25844.449114518073</c:v>
                </c:pt>
                <c:pt idx="19">
                  <c:v>25806.919128482921</c:v>
                </c:pt>
                <c:pt idx="20">
                  <c:v>25623.288496965444</c:v>
                </c:pt>
                <c:pt idx="21">
                  <c:v>25588.043317064992</c:v>
                </c:pt>
                <c:pt idx="22">
                  <c:v>25324.060600099398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759-46B5-908F-CC51FB0D9C94}"/>
            </c:ext>
          </c:extLst>
        </c:ser>
        <c:ser>
          <c:idx val="36"/>
          <c:order val="36"/>
          <c:tx>
            <c:strRef>
              <c:f>'NIFTY-Scientific, OPTION PRICIN'!$AT$1</c:f>
              <c:strCache>
                <c:ptCount val="1"/>
                <c:pt idx="0">
                  <c:v>Path 37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PRICIN'!$AT$2:$AT$24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24553.524047061277</c:v>
                </c:pt>
                <c:pt idx="2">
                  <c:v>24493.066343060942</c:v>
                </c:pt>
                <c:pt idx="3">
                  <c:v>24226.10403937949</c:v>
                </c:pt>
                <c:pt idx="4">
                  <c:v>24565.809397833709</c:v>
                </c:pt>
                <c:pt idx="5">
                  <c:v>24709.504135486546</c:v>
                </c:pt>
                <c:pt idx="6">
                  <c:v>24852.067908641351</c:v>
                </c:pt>
                <c:pt idx="7">
                  <c:v>25040.073792320647</c:v>
                </c:pt>
                <c:pt idx="8">
                  <c:v>25230.345638640243</c:v>
                </c:pt>
                <c:pt idx="9">
                  <c:v>25225.837498992893</c:v>
                </c:pt>
                <c:pt idx="10">
                  <c:v>25574.124424239428</c:v>
                </c:pt>
                <c:pt idx="11">
                  <c:v>25741.22075369611</c:v>
                </c:pt>
                <c:pt idx="12">
                  <c:v>25755.53668758304</c:v>
                </c:pt>
                <c:pt idx="13">
                  <c:v>25784.4874434708</c:v>
                </c:pt>
                <c:pt idx="14">
                  <c:v>25896.367484217641</c:v>
                </c:pt>
                <c:pt idx="15">
                  <c:v>25693.702348287738</c:v>
                </c:pt>
                <c:pt idx="16">
                  <c:v>25379.789298869448</c:v>
                </c:pt>
                <c:pt idx="17">
                  <c:v>25604.455407253201</c:v>
                </c:pt>
                <c:pt idx="18">
                  <c:v>25435.346582818638</c:v>
                </c:pt>
                <c:pt idx="19">
                  <c:v>25569.130999990382</c:v>
                </c:pt>
                <c:pt idx="20">
                  <c:v>25828.830407975354</c:v>
                </c:pt>
                <c:pt idx="21">
                  <c:v>25856.67349982783</c:v>
                </c:pt>
                <c:pt idx="22">
                  <c:v>25640.25935856366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759-46B5-908F-CC51FB0D9C94}"/>
            </c:ext>
          </c:extLst>
        </c:ser>
        <c:ser>
          <c:idx val="37"/>
          <c:order val="37"/>
          <c:tx>
            <c:strRef>
              <c:f>'NIFTY-Scientific, OPTION PRICIN'!$AU$1</c:f>
              <c:strCache>
                <c:ptCount val="1"/>
                <c:pt idx="0">
                  <c:v>Path 38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PRICIN'!$AU$2:$AU$24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24225.37347112484</c:v>
                </c:pt>
                <c:pt idx="2">
                  <c:v>23978.116948527993</c:v>
                </c:pt>
                <c:pt idx="3">
                  <c:v>24159.199004915634</c:v>
                </c:pt>
                <c:pt idx="4">
                  <c:v>23895.215877322375</c:v>
                </c:pt>
                <c:pt idx="5">
                  <c:v>23499.943831300923</c:v>
                </c:pt>
                <c:pt idx="6">
                  <c:v>23117.592708096232</c:v>
                </c:pt>
                <c:pt idx="7">
                  <c:v>23359.225471919417</c:v>
                </c:pt>
                <c:pt idx="8">
                  <c:v>23236.551839650565</c:v>
                </c:pt>
                <c:pt idx="9">
                  <c:v>23282.087702215777</c:v>
                </c:pt>
                <c:pt idx="10">
                  <c:v>23109.11549079018</c:v>
                </c:pt>
                <c:pt idx="11">
                  <c:v>23009.315977521419</c:v>
                </c:pt>
                <c:pt idx="12">
                  <c:v>22967.453647814404</c:v>
                </c:pt>
                <c:pt idx="13">
                  <c:v>22783.522621857497</c:v>
                </c:pt>
                <c:pt idx="14">
                  <c:v>22570.160584948371</c:v>
                </c:pt>
                <c:pt idx="15">
                  <c:v>22422.72765524546</c:v>
                </c:pt>
                <c:pt idx="16">
                  <c:v>22733.255083213811</c:v>
                </c:pt>
                <c:pt idx="17">
                  <c:v>23081.722187364368</c:v>
                </c:pt>
                <c:pt idx="18">
                  <c:v>22830.485889172287</c:v>
                </c:pt>
                <c:pt idx="19">
                  <c:v>22835.955899104993</c:v>
                </c:pt>
                <c:pt idx="20">
                  <c:v>22964.0590229921</c:v>
                </c:pt>
                <c:pt idx="21">
                  <c:v>22703.022623132998</c:v>
                </c:pt>
                <c:pt idx="22">
                  <c:v>22777.084359996938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759-46B5-908F-CC51FB0D9C94}"/>
            </c:ext>
          </c:extLst>
        </c:ser>
        <c:ser>
          <c:idx val="38"/>
          <c:order val="38"/>
          <c:tx>
            <c:strRef>
              <c:f>'NIFTY-Scientific, OPTION PRICIN'!$AV$1</c:f>
              <c:strCache>
                <c:ptCount val="1"/>
                <c:pt idx="0">
                  <c:v>Path 39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PRICIN'!$AV$2:$AV$24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24093.912125196621</c:v>
                </c:pt>
                <c:pt idx="2">
                  <c:v>24023.468128673572</c:v>
                </c:pt>
                <c:pt idx="3">
                  <c:v>24034.378336327867</c:v>
                </c:pt>
                <c:pt idx="4">
                  <c:v>23895.739247853679</c:v>
                </c:pt>
                <c:pt idx="5">
                  <c:v>24080.463259639659</c:v>
                </c:pt>
                <c:pt idx="6">
                  <c:v>23875.334559485025</c:v>
                </c:pt>
                <c:pt idx="7">
                  <c:v>23898.179541096713</c:v>
                </c:pt>
                <c:pt idx="8">
                  <c:v>23936.010226808234</c:v>
                </c:pt>
                <c:pt idx="9">
                  <c:v>23808.827749260287</c:v>
                </c:pt>
                <c:pt idx="10">
                  <c:v>24154.736573135135</c:v>
                </c:pt>
                <c:pt idx="11">
                  <c:v>24162.734007728566</c:v>
                </c:pt>
                <c:pt idx="12">
                  <c:v>24182.826345422789</c:v>
                </c:pt>
                <c:pt idx="13">
                  <c:v>23990.293284466308</c:v>
                </c:pt>
                <c:pt idx="14">
                  <c:v>23956.169337507905</c:v>
                </c:pt>
                <c:pt idx="15">
                  <c:v>23984.202058894327</c:v>
                </c:pt>
                <c:pt idx="16">
                  <c:v>23611.245712370663</c:v>
                </c:pt>
                <c:pt idx="17">
                  <c:v>23646.494181623995</c:v>
                </c:pt>
                <c:pt idx="18">
                  <c:v>23343.496632046168</c:v>
                </c:pt>
                <c:pt idx="19">
                  <c:v>22958.952928044826</c:v>
                </c:pt>
                <c:pt idx="20">
                  <c:v>23026.910499230718</c:v>
                </c:pt>
                <c:pt idx="21">
                  <c:v>22876.139138305676</c:v>
                </c:pt>
                <c:pt idx="22">
                  <c:v>22605.38622558198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759-46B5-908F-CC51FB0D9C94}"/>
            </c:ext>
          </c:extLst>
        </c:ser>
        <c:ser>
          <c:idx val="39"/>
          <c:order val="39"/>
          <c:tx>
            <c:strRef>
              <c:f>'NIFTY-Scientific, OPTION PRICIN'!$AW$1</c:f>
              <c:strCache>
                <c:ptCount val="1"/>
                <c:pt idx="0">
                  <c:v>Path 40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PRICIN'!$AW$2:$AW$24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24135.37584462604</c:v>
                </c:pt>
                <c:pt idx="2">
                  <c:v>24065.894266285952</c:v>
                </c:pt>
                <c:pt idx="3">
                  <c:v>24252.123399461965</c:v>
                </c:pt>
                <c:pt idx="4">
                  <c:v>24092.467870788376</c:v>
                </c:pt>
                <c:pt idx="5">
                  <c:v>24041.59761758861</c:v>
                </c:pt>
                <c:pt idx="6">
                  <c:v>23854.927089748584</c:v>
                </c:pt>
                <c:pt idx="7">
                  <c:v>23975.10882388155</c:v>
                </c:pt>
                <c:pt idx="8">
                  <c:v>23814.911173939614</c:v>
                </c:pt>
                <c:pt idx="9">
                  <c:v>23971.415738159765</c:v>
                </c:pt>
                <c:pt idx="10">
                  <c:v>23890.491882283201</c:v>
                </c:pt>
                <c:pt idx="11">
                  <c:v>23896.414900032785</c:v>
                </c:pt>
                <c:pt idx="12">
                  <c:v>23831.703337278603</c:v>
                </c:pt>
                <c:pt idx="13">
                  <c:v>23790.710498945238</c:v>
                </c:pt>
                <c:pt idx="14">
                  <c:v>23691.22861838085</c:v>
                </c:pt>
                <c:pt idx="15">
                  <c:v>23845.076436590232</c:v>
                </c:pt>
                <c:pt idx="16">
                  <c:v>23862.693173407908</c:v>
                </c:pt>
                <c:pt idx="17">
                  <c:v>24220.977561333955</c:v>
                </c:pt>
                <c:pt idx="18">
                  <c:v>24228.047528580781</c:v>
                </c:pt>
                <c:pt idx="19">
                  <c:v>23933.033050639144</c:v>
                </c:pt>
                <c:pt idx="20">
                  <c:v>23818.566390808544</c:v>
                </c:pt>
                <c:pt idx="21">
                  <c:v>24123.224095699989</c:v>
                </c:pt>
                <c:pt idx="22">
                  <c:v>23753.135375727441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759-46B5-908F-CC51FB0D9C94}"/>
            </c:ext>
          </c:extLst>
        </c:ser>
        <c:ser>
          <c:idx val="40"/>
          <c:order val="40"/>
          <c:tx>
            <c:strRef>
              <c:f>'NIFTY-Scientific, OPTION PRICIN'!$AX$1</c:f>
              <c:strCache>
                <c:ptCount val="1"/>
                <c:pt idx="0">
                  <c:v>Path 41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PRICIN'!$AX$2:$AX$24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24138.917347686158</c:v>
                </c:pt>
                <c:pt idx="2">
                  <c:v>24366.163372545452</c:v>
                </c:pt>
                <c:pt idx="3">
                  <c:v>24415.875131693349</c:v>
                </c:pt>
                <c:pt idx="4">
                  <c:v>24492.918467390868</c:v>
                </c:pt>
                <c:pt idx="5">
                  <c:v>24533.450908334071</c:v>
                </c:pt>
                <c:pt idx="6">
                  <c:v>24429.209834318273</c:v>
                </c:pt>
                <c:pt idx="7">
                  <c:v>24229.989217211787</c:v>
                </c:pt>
                <c:pt idx="8">
                  <c:v>24527.998602873377</c:v>
                </c:pt>
                <c:pt idx="9">
                  <c:v>24855.432049793981</c:v>
                </c:pt>
                <c:pt idx="10">
                  <c:v>24948.851494108039</c:v>
                </c:pt>
                <c:pt idx="11">
                  <c:v>24701.18123228243</c:v>
                </c:pt>
                <c:pt idx="12">
                  <c:v>24719.27827401751</c:v>
                </c:pt>
                <c:pt idx="13">
                  <c:v>24723.649521676325</c:v>
                </c:pt>
                <c:pt idx="14">
                  <c:v>24865.977367932734</c:v>
                </c:pt>
                <c:pt idx="15">
                  <c:v>24780.597384436904</c:v>
                </c:pt>
                <c:pt idx="16">
                  <c:v>24922.728063051385</c:v>
                </c:pt>
                <c:pt idx="17">
                  <c:v>25342.562009938763</c:v>
                </c:pt>
                <c:pt idx="18">
                  <c:v>25323.759803969428</c:v>
                </c:pt>
                <c:pt idx="19">
                  <c:v>25414.239537905109</c:v>
                </c:pt>
                <c:pt idx="20">
                  <c:v>25600.072550582092</c:v>
                </c:pt>
                <c:pt idx="21">
                  <c:v>25770.606535961393</c:v>
                </c:pt>
                <c:pt idx="22">
                  <c:v>25809.418666524962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759-46B5-908F-CC51FB0D9C94}"/>
            </c:ext>
          </c:extLst>
        </c:ser>
        <c:ser>
          <c:idx val="41"/>
          <c:order val="41"/>
          <c:tx>
            <c:strRef>
              <c:f>'NIFTY-Scientific, OPTION PRICIN'!$AY$1</c:f>
              <c:strCache>
                <c:ptCount val="1"/>
                <c:pt idx="0">
                  <c:v>Path 42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PRICIN'!$AY$2:$AY$24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23995.938768454609</c:v>
                </c:pt>
                <c:pt idx="2">
                  <c:v>23813.848703033033</c:v>
                </c:pt>
                <c:pt idx="3">
                  <c:v>24012.778796664901</c:v>
                </c:pt>
                <c:pt idx="4">
                  <c:v>23988.789163819558</c:v>
                </c:pt>
                <c:pt idx="5">
                  <c:v>23953.698271546516</c:v>
                </c:pt>
                <c:pt idx="6">
                  <c:v>23888.052767092282</c:v>
                </c:pt>
                <c:pt idx="7">
                  <c:v>23304.410951467227</c:v>
                </c:pt>
                <c:pt idx="8">
                  <c:v>23482.00031951478</c:v>
                </c:pt>
                <c:pt idx="9">
                  <c:v>23605.894947123972</c:v>
                </c:pt>
                <c:pt idx="10">
                  <c:v>23747.952095374076</c:v>
                </c:pt>
                <c:pt idx="11">
                  <c:v>23726.31008133767</c:v>
                </c:pt>
                <c:pt idx="12">
                  <c:v>23771.534033670068</c:v>
                </c:pt>
                <c:pt idx="13">
                  <c:v>23830.795046370014</c:v>
                </c:pt>
                <c:pt idx="14">
                  <c:v>23839.722852980864</c:v>
                </c:pt>
                <c:pt idx="15">
                  <c:v>24103.971598165728</c:v>
                </c:pt>
                <c:pt idx="16">
                  <c:v>23933.751205466157</c:v>
                </c:pt>
                <c:pt idx="17">
                  <c:v>24014.429308644623</c:v>
                </c:pt>
                <c:pt idx="18">
                  <c:v>24238.469170248096</c:v>
                </c:pt>
                <c:pt idx="19">
                  <c:v>24474.90438977228</c:v>
                </c:pt>
                <c:pt idx="20">
                  <c:v>24348.485896055307</c:v>
                </c:pt>
                <c:pt idx="21">
                  <c:v>24272.845028366628</c:v>
                </c:pt>
                <c:pt idx="22">
                  <c:v>23958.978141062795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759-46B5-908F-CC51FB0D9C94}"/>
            </c:ext>
          </c:extLst>
        </c:ser>
        <c:ser>
          <c:idx val="42"/>
          <c:order val="42"/>
          <c:tx>
            <c:strRef>
              <c:f>'NIFTY-Scientific, OPTION PRICIN'!$AZ$1</c:f>
              <c:strCache>
                <c:ptCount val="1"/>
                <c:pt idx="0">
                  <c:v>Path 43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PRICIN'!$AZ$2:$AZ$24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24345.822719293632</c:v>
                </c:pt>
                <c:pt idx="2">
                  <c:v>24453.746746471232</c:v>
                </c:pt>
                <c:pt idx="3">
                  <c:v>24628.132986210549</c:v>
                </c:pt>
                <c:pt idx="4">
                  <c:v>24503.793513556178</c:v>
                </c:pt>
                <c:pt idx="5">
                  <c:v>24217.06998870297</c:v>
                </c:pt>
                <c:pt idx="6">
                  <c:v>24076.664449635253</c:v>
                </c:pt>
                <c:pt idx="7">
                  <c:v>23771.713041979401</c:v>
                </c:pt>
                <c:pt idx="8">
                  <c:v>24019.808683290903</c:v>
                </c:pt>
                <c:pt idx="9">
                  <c:v>24444.22197480399</c:v>
                </c:pt>
                <c:pt idx="10">
                  <c:v>24475.810723692142</c:v>
                </c:pt>
                <c:pt idx="11">
                  <c:v>24645.650137068504</c:v>
                </c:pt>
                <c:pt idx="12">
                  <c:v>24447.061680048708</c:v>
                </c:pt>
                <c:pt idx="13">
                  <c:v>24481.421146099718</c:v>
                </c:pt>
                <c:pt idx="14">
                  <c:v>24528.664529899601</c:v>
                </c:pt>
                <c:pt idx="15">
                  <c:v>24354.183382573119</c:v>
                </c:pt>
                <c:pt idx="16">
                  <c:v>24680.406855954039</c:v>
                </c:pt>
                <c:pt idx="17">
                  <c:v>24445.346328823711</c:v>
                </c:pt>
                <c:pt idx="18">
                  <c:v>24329.423307823796</c:v>
                </c:pt>
                <c:pt idx="19">
                  <c:v>24520.900415455053</c:v>
                </c:pt>
                <c:pt idx="20">
                  <c:v>24497.6699351229</c:v>
                </c:pt>
                <c:pt idx="21">
                  <c:v>24218.609377523248</c:v>
                </c:pt>
                <c:pt idx="22">
                  <c:v>24527.507685714289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5759-46B5-908F-CC51FB0D9C94}"/>
            </c:ext>
          </c:extLst>
        </c:ser>
        <c:ser>
          <c:idx val="43"/>
          <c:order val="43"/>
          <c:tx>
            <c:strRef>
              <c:f>'NIFTY-Scientific, OPTION PRICIN'!$BA$1</c:f>
              <c:strCache>
                <c:ptCount val="1"/>
                <c:pt idx="0">
                  <c:v>Path 44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PRICIN'!$BA$2:$BA$24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24030.081272054791</c:v>
                </c:pt>
                <c:pt idx="2">
                  <c:v>24150.982789973801</c:v>
                </c:pt>
                <c:pt idx="3">
                  <c:v>24468.583189763835</c:v>
                </c:pt>
                <c:pt idx="4">
                  <c:v>24478.362479926494</c:v>
                </c:pt>
                <c:pt idx="5">
                  <c:v>24640.636648127773</c:v>
                </c:pt>
                <c:pt idx="6">
                  <c:v>24934.953743797574</c:v>
                </c:pt>
                <c:pt idx="7">
                  <c:v>24904.915830719357</c:v>
                </c:pt>
                <c:pt idx="8">
                  <c:v>25273.503504821474</c:v>
                </c:pt>
                <c:pt idx="9">
                  <c:v>25485.709980115706</c:v>
                </c:pt>
                <c:pt idx="10">
                  <c:v>25301.906148351594</c:v>
                </c:pt>
                <c:pt idx="11">
                  <c:v>25386.446392446393</c:v>
                </c:pt>
                <c:pt idx="12">
                  <c:v>25625.845813326632</c:v>
                </c:pt>
                <c:pt idx="13">
                  <c:v>25691.058517449255</c:v>
                </c:pt>
                <c:pt idx="14">
                  <c:v>25852.508688881633</c:v>
                </c:pt>
                <c:pt idx="15">
                  <c:v>26359.109495224369</c:v>
                </c:pt>
                <c:pt idx="16">
                  <c:v>26086.508083655368</c:v>
                </c:pt>
                <c:pt idx="17">
                  <c:v>26350.938871382343</c:v>
                </c:pt>
                <c:pt idx="18">
                  <c:v>27046.090746982492</c:v>
                </c:pt>
                <c:pt idx="19">
                  <c:v>27168.376052418629</c:v>
                </c:pt>
                <c:pt idx="20">
                  <c:v>27312.885573551011</c:v>
                </c:pt>
                <c:pt idx="21">
                  <c:v>27335.916968265738</c:v>
                </c:pt>
                <c:pt idx="22">
                  <c:v>27689.814741169546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759-46B5-908F-CC51FB0D9C94}"/>
            </c:ext>
          </c:extLst>
        </c:ser>
        <c:ser>
          <c:idx val="44"/>
          <c:order val="44"/>
          <c:tx>
            <c:strRef>
              <c:f>'NIFTY-Scientific, OPTION PRICIN'!$BB$1</c:f>
              <c:strCache>
                <c:ptCount val="1"/>
                <c:pt idx="0">
                  <c:v>Path 45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PRICIN'!$BB$2:$BB$24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24310.007595251041</c:v>
                </c:pt>
                <c:pt idx="2">
                  <c:v>24410.831433110096</c:v>
                </c:pt>
                <c:pt idx="3">
                  <c:v>24623.857144243422</c:v>
                </c:pt>
                <c:pt idx="4">
                  <c:v>24954.774714351734</c:v>
                </c:pt>
                <c:pt idx="5">
                  <c:v>24781.548526802893</c:v>
                </c:pt>
                <c:pt idx="6">
                  <c:v>24433.9307132473</c:v>
                </c:pt>
                <c:pt idx="7">
                  <c:v>24118.026379033567</c:v>
                </c:pt>
                <c:pt idx="8">
                  <c:v>24360.979659243647</c:v>
                </c:pt>
                <c:pt idx="9">
                  <c:v>24208.214499714126</c:v>
                </c:pt>
                <c:pt idx="10">
                  <c:v>24523.843088318172</c:v>
                </c:pt>
                <c:pt idx="11">
                  <c:v>24365.567159730734</c:v>
                </c:pt>
                <c:pt idx="12">
                  <c:v>24461.094246966979</c:v>
                </c:pt>
                <c:pt idx="13">
                  <c:v>24512.851356926032</c:v>
                </c:pt>
                <c:pt idx="14">
                  <c:v>24579.891619316575</c:v>
                </c:pt>
                <c:pt idx="15">
                  <c:v>24883.376066457495</c:v>
                </c:pt>
                <c:pt idx="16">
                  <c:v>24793.236841510461</c:v>
                </c:pt>
                <c:pt idx="17">
                  <c:v>24655.183520758277</c:v>
                </c:pt>
                <c:pt idx="18">
                  <c:v>24783.13118743477</c:v>
                </c:pt>
                <c:pt idx="19">
                  <c:v>24542.229816198935</c:v>
                </c:pt>
                <c:pt idx="20">
                  <c:v>24472.112989805955</c:v>
                </c:pt>
                <c:pt idx="21">
                  <c:v>24453.376879055773</c:v>
                </c:pt>
                <c:pt idx="22">
                  <c:v>24448.039420566896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759-46B5-908F-CC51FB0D9C94}"/>
            </c:ext>
          </c:extLst>
        </c:ser>
        <c:ser>
          <c:idx val="45"/>
          <c:order val="45"/>
          <c:tx>
            <c:strRef>
              <c:f>'NIFTY-Scientific, OPTION PRICIN'!$BC$1</c:f>
              <c:strCache>
                <c:ptCount val="1"/>
                <c:pt idx="0">
                  <c:v>Path 46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PRICIN'!$BC$2:$BC$24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24134.568139097551</c:v>
                </c:pt>
                <c:pt idx="2">
                  <c:v>24069.303464928824</c:v>
                </c:pt>
                <c:pt idx="3">
                  <c:v>23892.691774343817</c:v>
                </c:pt>
                <c:pt idx="4">
                  <c:v>24043.656395225673</c:v>
                </c:pt>
                <c:pt idx="5">
                  <c:v>24222.256785796784</c:v>
                </c:pt>
                <c:pt idx="6">
                  <c:v>24248.621690550921</c:v>
                </c:pt>
                <c:pt idx="7">
                  <c:v>24220.109682355993</c:v>
                </c:pt>
                <c:pt idx="8">
                  <c:v>24134.286373420833</c:v>
                </c:pt>
                <c:pt idx="9">
                  <c:v>23931.784581082407</c:v>
                </c:pt>
                <c:pt idx="10">
                  <c:v>23895.560043460155</c:v>
                </c:pt>
                <c:pt idx="11">
                  <c:v>23409.605247835781</c:v>
                </c:pt>
                <c:pt idx="12">
                  <c:v>23574.684331681368</c:v>
                </c:pt>
                <c:pt idx="13">
                  <c:v>23528.96161844999</c:v>
                </c:pt>
                <c:pt idx="14">
                  <c:v>23438.893990247776</c:v>
                </c:pt>
                <c:pt idx="15">
                  <c:v>23651.557536277996</c:v>
                </c:pt>
                <c:pt idx="16">
                  <c:v>23602.730921287675</c:v>
                </c:pt>
                <c:pt idx="17">
                  <c:v>23508.478484633124</c:v>
                </c:pt>
                <c:pt idx="18">
                  <c:v>23530.697910040581</c:v>
                </c:pt>
                <c:pt idx="19">
                  <c:v>23702.795596563381</c:v>
                </c:pt>
                <c:pt idx="20">
                  <c:v>23446.090664600524</c:v>
                </c:pt>
                <c:pt idx="21">
                  <c:v>23646.080692377469</c:v>
                </c:pt>
                <c:pt idx="22">
                  <c:v>23748.876886761944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759-46B5-908F-CC51FB0D9C94}"/>
            </c:ext>
          </c:extLst>
        </c:ser>
        <c:ser>
          <c:idx val="46"/>
          <c:order val="46"/>
          <c:tx>
            <c:strRef>
              <c:f>'NIFTY-Scientific, OPTION PRICIN'!$BD$1</c:f>
              <c:strCache>
                <c:ptCount val="1"/>
                <c:pt idx="0">
                  <c:v>Path 47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PRICIN'!$BD$2:$BD$24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24014.61216929233</c:v>
                </c:pt>
                <c:pt idx="2">
                  <c:v>23983.776561883078</c:v>
                </c:pt>
                <c:pt idx="3">
                  <c:v>24179.757592334769</c:v>
                </c:pt>
                <c:pt idx="4">
                  <c:v>24189.85347929546</c:v>
                </c:pt>
                <c:pt idx="5">
                  <c:v>24739.770591520555</c:v>
                </c:pt>
                <c:pt idx="6">
                  <c:v>24757.254843171122</c:v>
                </c:pt>
                <c:pt idx="7">
                  <c:v>24590.787133019865</c:v>
                </c:pt>
                <c:pt idx="8">
                  <c:v>24731.251738567615</c:v>
                </c:pt>
                <c:pt idx="9">
                  <c:v>24687.287322629516</c:v>
                </c:pt>
                <c:pt idx="10">
                  <c:v>24955.425841986747</c:v>
                </c:pt>
                <c:pt idx="11">
                  <c:v>25088.179712296711</c:v>
                </c:pt>
                <c:pt idx="12">
                  <c:v>24848.076538208043</c:v>
                </c:pt>
                <c:pt idx="13">
                  <c:v>24813.433074581626</c:v>
                </c:pt>
                <c:pt idx="14">
                  <c:v>25294.696253037302</c:v>
                </c:pt>
                <c:pt idx="15">
                  <c:v>24973.25562012941</c:v>
                </c:pt>
                <c:pt idx="16">
                  <c:v>25114.170579298599</c:v>
                </c:pt>
                <c:pt idx="17">
                  <c:v>25085.70902154221</c:v>
                </c:pt>
                <c:pt idx="18">
                  <c:v>24631.750591077929</c:v>
                </c:pt>
                <c:pt idx="19">
                  <c:v>24663.420208615113</c:v>
                </c:pt>
                <c:pt idx="20">
                  <c:v>24956.588071753951</c:v>
                </c:pt>
                <c:pt idx="21">
                  <c:v>24788.623074660329</c:v>
                </c:pt>
                <c:pt idx="22">
                  <c:v>24017.448654953703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759-46B5-908F-CC51FB0D9C94}"/>
            </c:ext>
          </c:extLst>
        </c:ser>
        <c:ser>
          <c:idx val="47"/>
          <c:order val="47"/>
          <c:tx>
            <c:strRef>
              <c:f>'NIFTY-Scientific, OPTION PRICIN'!$BE$1</c:f>
              <c:strCache>
                <c:ptCount val="1"/>
                <c:pt idx="0">
                  <c:v>Path 48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PRICIN'!$BE$2:$BE$24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24477.338205862998</c:v>
                </c:pt>
                <c:pt idx="2">
                  <c:v>24632.191573623622</c:v>
                </c:pt>
                <c:pt idx="3">
                  <c:v>24560.171285082699</c:v>
                </c:pt>
                <c:pt idx="4">
                  <c:v>24861.131617062711</c:v>
                </c:pt>
                <c:pt idx="5">
                  <c:v>25015.989766771498</c:v>
                </c:pt>
                <c:pt idx="6">
                  <c:v>25075.82592874621</c:v>
                </c:pt>
                <c:pt idx="7">
                  <c:v>25305.65907981592</c:v>
                </c:pt>
                <c:pt idx="8">
                  <c:v>25428.120970617027</c:v>
                </c:pt>
                <c:pt idx="9">
                  <c:v>25375.224480775294</c:v>
                </c:pt>
                <c:pt idx="10">
                  <c:v>25202.011599735048</c:v>
                </c:pt>
                <c:pt idx="11">
                  <c:v>25138.799603866504</c:v>
                </c:pt>
                <c:pt idx="12">
                  <c:v>25171.530506515959</c:v>
                </c:pt>
                <c:pt idx="13">
                  <c:v>25248.282089209268</c:v>
                </c:pt>
                <c:pt idx="14">
                  <c:v>25391.822956772965</c:v>
                </c:pt>
                <c:pt idx="15">
                  <c:v>25540.608275872477</c:v>
                </c:pt>
                <c:pt idx="16">
                  <c:v>25222.526660129715</c:v>
                </c:pt>
                <c:pt idx="17">
                  <c:v>25204.492547664398</c:v>
                </c:pt>
                <c:pt idx="18">
                  <c:v>25426.467096105167</c:v>
                </c:pt>
                <c:pt idx="19">
                  <c:v>25518.927920928789</c:v>
                </c:pt>
                <c:pt idx="20">
                  <c:v>25227.312957601735</c:v>
                </c:pt>
                <c:pt idx="21">
                  <c:v>25046.622326429457</c:v>
                </c:pt>
                <c:pt idx="22">
                  <c:v>25287.985599517073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759-46B5-908F-CC51FB0D9C94}"/>
            </c:ext>
          </c:extLst>
        </c:ser>
        <c:ser>
          <c:idx val="48"/>
          <c:order val="48"/>
          <c:tx>
            <c:strRef>
              <c:f>'NIFTY-Scientific, OPTION PRICIN'!$BF$1</c:f>
              <c:strCache>
                <c:ptCount val="1"/>
                <c:pt idx="0">
                  <c:v>Path 49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PRICIN'!$BF$2:$BF$24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24140.46182968593</c:v>
                </c:pt>
                <c:pt idx="2">
                  <c:v>24241.121075539264</c:v>
                </c:pt>
                <c:pt idx="3">
                  <c:v>24391.316699957326</c:v>
                </c:pt>
                <c:pt idx="4">
                  <c:v>24555.601092537283</c:v>
                </c:pt>
                <c:pt idx="5">
                  <c:v>24555.761277035926</c:v>
                </c:pt>
                <c:pt idx="6">
                  <c:v>24234.035867187871</c:v>
                </c:pt>
                <c:pt idx="7">
                  <c:v>24470.986916586146</c:v>
                </c:pt>
                <c:pt idx="8">
                  <c:v>24734.030439887891</c:v>
                </c:pt>
                <c:pt idx="9">
                  <c:v>24448.953524175904</c:v>
                </c:pt>
                <c:pt idx="10">
                  <c:v>24774.701658414666</c:v>
                </c:pt>
                <c:pt idx="11">
                  <c:v>24426.003031360367</c:v>
                </c:pt>
                <c:pt idx="12">
                  <c:v>24126.01410391169</c:v>
                </c:pt>
                <c:pt idx="13">
                  <c:v>24072.205009753143</c:v>
                </c:pt>
                <c:pt idx="14">
                  <c:v>23767.684023241967</c:v>
                </c:pt>
                <c:pt idx="15">
                  <c:v>24054.93982751053</c:v>
                </c:pt>
                <c:pt idx="16">
                  <c:v>24102.666155006696</c:v>
                </c:pt>
                <c:pt idx="17">
                  <c:v>24141.725162242983</c:v>
                </c:pt>
                <c:pt idx="18">
                  <c:v>23809.816689354386</c:v>
                </c:pt>
                <c:pt idx="19">
                  <c:v>24008.846676748377</c:v>
                </c:pt>
                <c:pt idx="20">
                  <c:v>23872.116471034831</c:v>
                </c:pt>
                <c:pt idx="21">
                  <c:v>23785.15248648568</c:v>
                </c:pt>
                <c:pt idx="22">
                  <c:v>23903.15242510552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759-46B5-908F-CC51FB0D9C94}"/>
            </c:ext>
          </c:extLst>
        </c:ser>
        <c:ser>
          <c:idx val="49"/>
          <c:order val="49"/>
          <c:tx>
            <c:strRef>
              <c:f>'NIFTY-Scientific, OPTION PRICIN'!$BG$1</c:f>
              <c:strCache>
                <c:ptCount val="1"/>
                <c:pt idx="0">
                  <c:v>Path 50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PRICIN'!$BG$2:$BG$24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24552.936774836915</c:v>
                </c:pt>
                <c:pt idx="2">
                  <c:v>24351.412777272049</c:v>
                </c:pt>
                <c:pt idx="3">
                  <c:v>24078.829158253953</c:v>
                </c:pt>
                <c:pt idx="4">
                  <c:v>24180.817090178221</c:v>
                </c:pt>
                <c:pt idx="5">
                  <c:v>24050.754873104182</c:v>
                </c:pt>
                <c:pt idx="6">
                  <c:v>24027.743485901636</c:v>
                </c:pt>
                <c:pt idx="7">
                  <c:v>23916.075996605774</c:v>
                </c:pt>
                <c:pt idx="8">
                  <c:v>23781.877120731442</c:v>
                </c:pt>
                <c:pt idx="9">
                  <c:v>23859.211372726113</c:v>
                </c:pt>
                <c:pt idx="10">
                  <c:v>23664.714876201167</c:v>
                </c:pt>
                <c:pt idx="11">
                  <c:v>23879.492517537215</c:v>
                </c:pt>
                <c:pt idx="12">
                  <c:v>23844.461268673971</c:v>
                </c:pt>
                <c:pt idx="13">
                  <c:v>24175.787484344437</c:v>
                </c:pt>
                <c:pt idx="14">
                  <c:v>23983.606639137965</c:v>
                </c:pt>
                <c:pt idx="15">
                  <c:v>23728.245773536823</c:v>
                </c:pt>
                <c:pt idx="16">
                  <c:v>23724.290147039625</c:v>
                </c:pt>
                <c:pt idx="17">
                  <c:v>23579.753931068193</c:v>
                </c:pt>
                <c:pt idx="18">
                  <c:v>23283.052790702259</c:v>
                </c:pt>
                <c:pt idx="19">
                  <c:v>23008.281805535167</c:v>
                </c:pt>
                <c:pt idx="20">
                  <c:v>23305.714463750646</c:v>
                </c:pt>
                <c:pt idx="21">
                  <c:v>23438.001575957252</c:v>
                </c:pt>
                <c:pt idx="22">
                  <c:v>23676.247294351699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759-46B5-908F-CC51FB0D9C94}"/>
            </c:ext>
          </c:extLst>
        </c:ser>
        <c:ser>
          <c:idx val="50"/>
          <c:order val="50"/>
          <c:tx>
            <c:strRef>
              <c:f>'NIFTY-Scientific, OPTION PRICIN'!$BH$1</c:f>
              <c:strCache>
                <c:ptCount val="1"/>
                <c:pt idx="0">
                  <c:v>Path 51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PRICIN'!$BH$2:$BH$24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24041.60547853</c:v>
                </c:pt>
                <c:pt idx="2">
                  <c:v>23981.037109454763</c:v>
                </c:pt>
                <c:pt idx="3">
                  <c:v>23915.527702303756</c:v>
                </c:pt>
                <c:pt idx="4">
                  <c:v>23769.260094762838</c:v>
                </c:pt>
                <c:pt idx="5">
                  <c:v>23882.601928345863</c:v>
                </c:pt>
                <c:pt idx="6">
                  <c:v>24109.580270835653</c:v>
                </c:pt>
                <c:pt idx="7">
                  <c:v>24123.211757997287</c:v>
                </c:pt>
                <c:pt idx="8">
                  <c:v>24344.309081349569</c:v>
                </c:pt>
                <c:pt idx="9">
                  <c:v>24315.485658320715</c:v>
                </c:pt>
                <c:pt idx="10">
                  <c:v>24152.001220302205</c:v>
                </c:pt>
                <c:pt idx="11">
                  <c:v>24306.282963443016</c:v>
                </c:pt>
                <c:pt idx="12">
                  <c:v>24628.08187582139</c:v>
                </c:pt>
                <c:pt idx="13">
                  <c:v>24436.413363147956</c:v>
                </c:pt>
                <c:pt idx="14">
                  <c:v>24257.605767820798</c:v>
                </c:pt>
                <c:pt idx="15">
                  <c:v>24264.585723719589</c:v>
                </c:pt>
                <c:pt idx="16">
                  <c:v>24293.251585640723</c:v>
                </c:pt>
                <c:pt idx="17">
                  <c:v>24422.271683593131</c:v>
                </c:pt>
                <c:pt idx="18">
                  <c:v>24168.599201622255</c:v>
                </c:pt>
                <c:pt idx="19">
                  <c:v>23541.065925442323</c:v>
                </c:pt>
                <c:pt idx="20">
                  <c:v>23306.231343366158</c:v>
                </c:pt>
                <c:pt idx="21">
                  <c:v>23167.099550695773</c:v>
                </c:pt>
                <c:pt idx="22">
                  <c:v>23022.645252854723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759-46B5-908F-CC51FB0D9C94}"/>
            </c:ext>
          </c:extLst>
        </c:ser>
        <c:ser>
          <c:idx val="51"/>
          <c:order val="51"/>
          <c:tx>
            <c:strRef>
              <c:f>'NIFTY-Scientific, OPTION PRICIN'!$BI$1</c:f>
              <c:strCache>
                <c:ptCount val="1"/>
                <c:pt idx="0">
                  <c:v>Path 52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PRICIN'!$BI$2:$BI$24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23990.916733560596</c:v>
                </c:pt>
                <c:pt idx="2">
                  <c:v>24102.378779685328</c:v>
                </c:pt>
                <c:pt idx="3">
                  <c:v>24430.063628758609</c:v>
                </c:pt>
                <c:pt idx="4">
                  <c:v>24283.356184354609</c:v>
                </c:pt>
                <c:pt idx="5">
                  <c:v>24189.286613495769</c:v>
                </c:pt>
                <c:pt idx="6">
                  <c:v>24560.147186438822</c:v>
                </c:pt>
                <c:pt idx="7">
                  <c:v>24409.64723194408</c:v>
                </c:pt>
                <c:pt idx="8">
                  <c:v>24558.564589786904</c:v>
                </c:pt>
                <c:pt idx="9">
                  <c:v>24379.071500653434</c:v>
                </c:pt>
                <c:pt idx="10">
                  <c:v>24358.37322096169</c:v>
                </c:pt>
                <c:pt idx="11">
                  <c:v>24414.394053286022</c:v>
                </c:pt>
                <c:pt idx="12">
                  <c:v>24494.434240550556</c:v>
                </c:pt>
                <c:pt idx="13">
                  <c:v>24113.251432490022</c:v>
                </c:pt>
                <c:pt idx="14">
                  <c:v>23693.955889434194</c:v>
                </c:pt>
                <c:pt idx="15">
                  <c:v>23626.642373930674</c:v>
                </c:pt>
                <c:pt idx="16">
                  <c:v>23464.167083855271</c:v>
                </c:pt>
                <c:pt idx="17">
                  <c:v>23385.438993201024</c:v>
                </c:pt>
                <c:pt idx="18">
                  <c:v>23645.414857363612</c:v>
                </c:pt>
                <c:pt idx="19">
                  <c:v>23783.729246899042</c:v>
                </c:pt>
                <c:pt idx="20">
                  <c:v>23773.369722490177</c:v>
                </c:pt>
                <c:pt idx="21">
                  <c:v>23640.011601775877</c:v>
                </c:pt>
                <c:pt idx="22">
                  <c:v>23440.895036630096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759-46B5-908F-CC51FB0D9C94}"/>
            </c:ext>
          </c:extLst>
        </c:ser>
        <c:ser>
          <c:idx val="52"/>
          <c:order val="52"/>
          <c:tx>
            <c:strRef>
              <c:f>'NIFTY-Scientific, OPTION PRICIN'!$BJ$1</c:f>
              <c:strCache>
                <c:ptCount val="1"/>
                <c:pt idx="0">
                  <c:v>Path 53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PRICIN'!$BJ$2:$BJ$24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24440.308368468886</c:v>
                </c:pt>
                <c:pt idx="2">
                  <c:v>24252.054372170966</c:v>
                </c:pt>
                <c:pt idx="3">
                  <c:v>24005.685525286266</c:v>
                </c:pt>
                <c:pt idx="4">
                  <c:v>23904.710393891812</c:v>
                </c:pt>
                <c:pt idx="5">
                  <c:v>24137.374084410181</c:v>
                </c:pt>
                <c:pt idx="6">
                  <c:v>23889.814982609187</c:v>
                </c:pt>
                <c:pt idx="7">
                  <c:v>23946.882694983422</c:v>
                </c:pt>
                <c:pt idx="8">
                  <c:v>23932.926926767497</c:v>
                </c:pt>
                <c:pt idx="9">
                  <c:v>23593.186242503678</c:v>
                </c:pt>
                <c:pt idx="10">
                  <c:v>23740.829152480692</c:v>
                </c:pt>
                <c:pt idx="11">
                  <c:v>23613.731721819026</c:v>
                </c:pt>
                <c:pt idx="12">
                  <c:v>23969.151766059178</c:v>
                </c:pt>
                <c:pt idx="13">
                  <c:v>24100.34584015462</c:v>
                </c:pt>
                <c:pt idx="14">
                  <c:v>24268.173667697625</c:v>
                </c:pt>
                <c:pt idx="15">
                  <c:v>24027.568873889417</c:v>
                </c:pt>
                <c:pt idx="16">
                  <c:v>24383.438899391967</c:v>
                </c:pt>
                <c:pt idx="17">
                  <c:v>24413.527333514172</c:v>
                </c:pt>
                <c:pt idx="18">
                  <c:v>24383.137887573408</c:v>
                </c:pt>
                <c:pt idx="19">
                  <c:v>24442.670124094355</c:v>
                </c:pt>
                <c:pt idx="20">
                  <c:v>24397.855556190523</c:v>
                </c:pt>
                <c:pt idx="21">
                  <c:v>24807.821171970339</c:v>
                </c:pt>
                <c:pt idx="22">
                  <c:v>24839.431775882651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759-46B5-908F-CC51FB0D9C94}"/>
            </c:ext>
          </c:extLst>
        </c:ser>
        <c:ser>
          <c:idx val="53"/>
          <c:order val="53"/>
          <c:tx>
            <c:strRef>
              <c:f>'NIFTY-Scientific, OPTION PRICIN'!$BK$1</c:f>
              <c:strCache>
                <c:ptCount val="1"/>
                <c:pt idx="0">
                  <c:v>Path 54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PRICIN'!$BK$2:$BK$24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23895.773083161501</c:v>
                </c:pt>
                <c:pt idx="2">
                  <c:v>23823.092356747926</c:v>
                </c:pt>
                <c:pt idx="3">
                  <c:v>24284.650889080011</c:v>
                </c:pt>
                <c:pt idx="4">
                  <c:v>24382.457259644041</c:v>
                </c:pt>
                <c:pt idx="5">
                  <c:v>24463.570588792143</c:v>
                </c:pt>
                <c:pt idx="6">
                  <c:v>24438.728536531722</c:v>
                </c:pt>
                <c:pt idx="7">
                  <c:v>24335.995885422228</c:v>
                </c:pt>
                <c:pt idx="8">
                  <c:v>24082.495840001819</c:v>
                </c:pt>
                <c:pt idx="9">
                  <c:v>24277.458832143038</c:v>
                </c:pt>
                <c:pt idx="10">
                  <c:v>24666.669640606298</c:v>
                </c:pt>
                <c:pt idx="11">
                  <c:v>24729.367158082627</c:v>
                </c:pt>
                <c:pt idx="12">
                  <c:v>24481.171195618565</c:v>
                </c:pt>
                <c:pt idx="13">
                  <c:v>24603.508885466868</c:v>
                </c:pt>
                <c:pt idx="14">
                  <c:v>24436.911296109061</c:v>
                </c:pt>
                <c:pt idx="15">
                  <c:v>24614.473927505696</c:v>
                </c:pt>
                <c:pt idx="16">
                  <c:v>24574.774951602391</c:v>
                </c:pt>
                <c:pt idx="17">
                  <c:v>24550.296824965346</c:v>
                </c:pt>
                <c:pt idx="18">
                  <c:v>24631.44709095906</c:v>
                </c:pt>
                <c:pt idx="19">
                  <c:v>24368.87147768342</c:v>
                </c:pt>
                <c:pt idx="20">
                  <c:v>24551.792697738038</c:v>
                </c:pt>
                <c:pt idx="21">
                  <c:v>24685.071563672824</c:v>
                </c:pt>
                <c:pt idx="22">
                  <c:v>24728.538599171596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759-46B5-908F-CC51FB0D9C94}"/>
            </c:ext>
          </c:extLst>
        </c:ser>
        <c:ser>
          <c:idx val="54"/>
          <c:order val="54"/>
          <c:tx>
            <c:strRef>
              <c:f>'NIFTY-Scientific, OPTION PRICIN'!$BL$1</c:f>
              <c:strCache>
                <c:ptCount val="1"/>
                <c:pt idx="0">
                  <c:v>Path 55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PRICIN'!$BL$2:$BL$24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23744.388244664791</c:v>
                </c:pt>
                <c:pt idx="2">
                  <c:v>23882.360709505196</c:v>
                </c:pt>
                <c:pt idx="3">
                  <c:v>23941.359080423787</c:v>
                </c:pt>
                <c:pt idx="4">
                  <c:v>23831.893571172346</c:v>
                </c:pt>
                <c:pt idx="5">
                  <c:v>24164.447509024852</c:v>
                </c:pt>
                <c:pt idx="6">
                  <c:v>24121.031935031086</c:v>
                </c:pt>
                <c:pt idx="7">
                  <c:v>24306.22510006381</c:v>
                </c:pt>
                <c:pt idx="8">
                  <c:v>24012.462831694495</c:v>
                </c:pt>
                <c:pt idx="9">
                  <c:v>23612.33036826337</c:v>
                </c:pt>
                <c:pt idx="10">
                  <c:v>23676.247037008889</c:v>
                </c:pt>
                <c:pt idx="11">
                  <c:v>23721.236563166</c:v>
                </c:pt>
                <c:pt idx="12">
                  <c:v>23678.812232028522</c:v>
                </c:pt>
                <c:pt idx="13">
                  <c:v>24004.001529514811</c:v>
                </c:pt>
                <c:pt idx="14">
                  <c:v>24076.495308109283</c:v>
                </c:pt>
                <c:pt idx="15">
                  <c:v>23926.880964883821</c:v>
                </c:pt>
                <c:pt idx="16">
                  <c:v>23898.531872970991</c:v>
                </c:pt>
                <c:pt idx="17">
                  <c:v>23492.719217074515</c:v>
                </c:pt>
                <c:pt idx="18">
                  <c:v>23385.084825821992</c:v>
                </c:pt>
                <c:pt idx="19">
                  <c:v>23520.359660724673</c:v>
                </c:pt>
                <c:pt idx="20">
                  <c:v>23207.912076095356</c:v>
                </c:pt>
                <c:pt idx="21">
                  <c:v>23131.460910367707</c:v>
                </c:pt>
                <c:pt idx="22">
                  <c:v>23577.992550983297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759-46B5-908F-CC51FB0D9C94}"/>
            </c:ext>
          </c:extLst>
        </c:ser>
        <c:ser>
          <c:idx val="55"/>
          <c:order val="55"/>
          <c:tx>
            <c:strRef>
              <c:f>'NIFTY-Scientific, OPTION PRICIN'!$BM$1</c:f>
              <c:strCache>
                <c:ptCount val="1"/>
                <c:pt idx="0">
                  <c:v>Path 56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PRICIN'!$BM$2:$BM$24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23985.629645490269</c:v>
                </c:pt>
                <c:pt idx="2">
                  <c:v>23958.824731698925</c:v>
                </c:pt>
                <c:pt idx="3">
                  <c:v>23404.241212298726</c:v>
                </c:pt>
                <c:pt idx="4">
                  <c:v>23210.361566648746</c:v>
                </c:pt>
                <c:pt idx="5">
                  <c:v>23262.175519702865</c:v>
                </c:pt>
                <c:pt idx="6">
                  <c:v>22908.632954482611</c:v>
                </c:pt>
                <c:pt idx="7">
                  <c:v>22448.733207089772</c:v>
                </c:pt>
                <c:pt idx="8">
                  <c:v>22349.553783787636</c:v>
                </c:pt>
                <c:pt idx="9">
                  <c:v>22645.844652995831</c:v>
                </c:pt>
                <c:pt idx="10">
                  <c:v>22685.088130784097</c:v>
                </c:pt>
                <c:pt idx="11">
                  <c:v>22648.176128858919</c:v>
                </c:pt>
                <c:pt idx="12">
                  <c:v>22561.022099701433</c:v>
                </c:pt>
                <c:pt idx="13">
                  <c:v>22558.899835237098</c:v>
                </c:pt>
                <c:pt idx="14">
                  <c:v>22609.458537620161</c:v>
                </c:pt>
                <c:pt idx="15">
                  <c:v>22601.149914286572</c:v>
                </c:pt>
                <c:pt idx="16">
                  <c:v>22505.56530981043</c:v>
                </c:pt>
                <c:pt idx="17">
                  <c:v>22710.227087675772</c:v>
                </c:pt>
                <c:pt idx="18">
                  <c:v>22612.842748080282</c:v>
                </c:pt>
                <c:pt idx="19">
                  <c:v>22196.346666499903</c:v>
                </c:pt>
                <c:pt idx="20">
                  <c:v>22337.970468047057</c:v>
                </c:pt>
                <c:pt idx="21">
                  <c:v>22471.904043387236</c:v>
                </c:pt>
                <c:pt idx="22">
                  <c:v>22395.885969235762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759-46B5-908F-CC51FB0D9C94}"/>
            </c:ext>
          </c:extLst>
        </c:ser>
        <c:ser>
          <c:idx val="56"/>
          <c:order val="56"/>
          <c:tx>
            <c:strRef>
              <c:f>'NIFTY-Scientific, OPTION PRICIN'!$BN$1</c:f>
              <c:strCache>
                <c:ptCount val="1"/>
                <c:pt idx="0">
                  <c:v>Path 57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PRICIN'!$BN$2:$BN$24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24115.270952813884</c:v>
                </c:pt>
                <c:pt idx="2">
                  <c:v>24006.989255889283</c:v>
                </c:pt>
                <c:pt idx="3">
                  <c:v>24015.315378514359</c:v>
                </c:pt>
                <c:pt idx="4">
                  <c:v>23631.355630749174</c:v>
                </c:pt>
                <c:pt idx="5">
                  <c:v>23411.021965297761</c:v>
                </c:pt>
                <c:pt idx="6">
                  <c:v>23578.128490263443</c:v>
                </c:pt>
                <c:pt idx="7">
                  <c:v>23614.756776981005</c:v>
                </c:pt>
                <c:pt idx="8">
                  <c:v>23427.993225595674</c:v>
                </c:pt>
                <c:pt idx="9">
                  <c:v>23437.685508599101</c:v>
                </c:pt>
                <c:pt idx="10">
                  <c:v>23520.952538075064</c:v>
                </c:pt>
                <c:pt idx="11">
                  <c:v>23329.429239866731</c:v>
                </c:pt>
                <c:pt idx="12">
                  <c:v>23162.341322547833</c:v>
                </c:pt>
                <c:pt idx="13">
                  <c:v>23176.582693450073</c:v>
                </c:pt>
                <c:pt idx="14">
                  <c:v>23413.38074390715</c:v>
                </c:pt>
                <c:pt idx="15">
                  <c:v>23556.63469438651</c:v>
                </c:pt>
                <c:pt idx="16">
                  <c:v>23313.316906361029</c:v>
                </c:pt>
                <c:pt idx="17">
                  <c:v>22920.323144129223</c:v>
                </c:pt>
                <c:pt idx="18">
                  <c:v>22814.338235756979</c:v>
                </c:pt>
                <c:pt idx="19">
                  <c:v>22810.402779705582</c:v>
                </c:pt>
                <c:pt idx="20">
                  <c:v>22599.647712868929</c:v>
                </c:pt>
                <c:pt idx="21">
                  <c:v>22631.409444810266</c:v>
                </c:pt>
                <c:pt idx="22">
                  <c:v>22798.541897267522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759-46B5-908F-CC51FB0D9C94}"/>
            </c:ext>
          </c:extLst>
        </c:ser>
        <c:ser>
          <c:idx val="57"/>
          <c:order val="57"/>
          <c:tx>
            <c:strRef>
              <c:f>'NIFTY-Scientific, OPTION PRICIN'!$BO$1</c:f>
              <c:strCache>
                <c:ptCount val="1"/>
                <c:pt idx="0">
                  <c:v>Path 58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PRICIN'!$BO$2:$BO$24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24188.999722196466</c:v>
                </c:pt>
                <c:pt idx="2">
                  <c:v>24259.854457096302</c:v>
                </c:pt>
                <c:pt idx="3">
                  <c:v>24155.540021839424</c:v>
                </c:pt>
                <c:pt idx="4">
                  <c:v>24126.559183031288</c:v>
                </c:pt>
                <c:pt idx="5">
                  <c:v>24579.294473363407</c:v>
                </c:pt>
                <c:pt idx="6">
                  <c:v>24519.662464622455</c:v>
                </c:pt>
                <c:pt idx="7">
                  <c:v>24464.956808143346</c:v>
                </c:pt>
                <c:pt idx="8">
                  <c:v>24385.475276660214</c:v>
                </c:pt>
                <c:pt idx="9">
                  <c:v>24312.484925948957</c:v>
                </c:pt>
                <c:pt idx="10">
                  <c:v>24194.574852306796</c:v>
                </c:pt>
                <c:pt idx="11">
                  <c:v>24289.832471444515</c:v>
                </c:pt>
                <c:pt idx="12">
                  <c:v>24042.05347767262</c:v>
                </c:pt>
                <c:pt idx="13">
                  <c:v>23713.478607113146</c:v>
                </c:pt>
                <c:pt idx="14">
                  <c:v>23466.146445824674</c:v>
                </c:pt>
                <c:pt idx="15">
                  <c:v>23181.768157901552</c:v>
                </c:pt>
                <c:pt idx="16">
                  <c:v>22992.998167753267</c:v>
                </c:pt>
                <c:pt idx="17">
                  <c:v>22887.641176918001</c:v>
                </c:pt>
                <c:pt idx="18">
                  <c:v>22790.982434527425</c:v>
                </c:pt>
                <c:pt idx="19">
                  <c:v>22820.671312709244</c:v>
                </c:pt>
                <c:pt idx="20">
                  <c:v>22842.653952339308</c:v>
                </c:pt>
                <c:pt idx="21">
                  <c:v>22976.70771932933</c:v>
                </c:pt>
                <c:pt idx="22">
                  <c:v>22979.251178606519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759-46B5-908F-CC51FB0D9C94}"/>
            </c:ext>
          </c:extLst>
        </c:ser>
        <c:ser>
          <c:idx val="58"/>
          <c:order val="58"/>
          <c:tx>
            <c:strRef>
              <c:f>'NIFTY-Scientific, OPTION PRICIN'!$BP$1</c:f>
              <c:strCache>
                <c:ptCount val="1"/>
                <c:pt idx="0">
                  <c:v>Path 59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PRICIN'!$BP$2:$BP$24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23910.575224609671</c:v>
                </c:pt>
                <c:pt idx="2">
                  <c:v>23971.703039969325</c:v>
                </c:pt>
                <c:pt idx="3">
                  <c:v>23568.995673849757</c:v>
                </c:pt>
                <c:pt idx="4">
                  <c:v>23501.192879849616</c:v>
                </c:pt>
                <c:pt idx="5">
                  <c:v>23397.850631507637</c:v>
                </c:pt>
                <c:pt idx="6">
                  <c:v>23078.697799041511</c:v>
                </c:pt>
                <c:pt idx="7">
                  <c:v>22878.103633925897</c:v>
                </c:pt>
                <c:pt idx="8">
                  <c:v>23212.052672461497</c:v>
                </c:pt>
                <c:pt idx="9">
                  <c:v>23039.583364453603</c:v>
                </c:pt>
                <c:pt idx="10">
                  <c:v>23159.685973135183</c:v>
                </c:pt>
                <c:pt idx="11">
                  <c:v>23181.357674630646</c:v>
                </c:pt>
                <c:pt idx="12">
                  <c:v>23241.1991159393</c:v>
                </c:pt>
                <c:pt idx="13">
                  <c:v>23162.355648536293</c:v>
                </c:pt>
                <c:pt idx="14">
                  <c:v>23181.514949997156</c:v>
                </c:pt>
                <c:pt idx="15">
                  <c:v>23076.541217706777</c:v>
                </c:pt>
                <c:pt idx="16">
                  <c:v>22903.737147873861</c:v>
                </c:pt>
                <c:pt idx="17">
                  <c:v>23246.877067929545</c:v>
                </c:pt>
                <c:pt idx="18">
                  <c:v>23290.870889492548</c:v>
                </c:pt>
                <c:pt idx="19">
                  <c:v>23551.381021213805</c:v>
                </c:pt>
                <c:pt idx="20">
                  <c:v>23958.400297210137</c:v>
                </c:pt>
                <c:pt idx="21">
                  <c:v>24314.506498474027</c:v>
                </c:pt>
                <c:pt idx="22">
                  <c:v>24267.722643629389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759-46B5-908F-CC51FB0D9C94}"/>
            </c:ext>
          </c:extLst>
        </c:ser>
        <c:ser>
          <c:idx val="59"/>
          <c:order val="59"/>
          <c:tx>
            <c:strRef>
              <c:f>'NIFTY-Scientific, OPTION PRICIN'!$BQ$1</c:f>
              <c:strCache>
                <c:ptCount val="1"/>
                <c:pt idx="0">
                  <c:v>Path 60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PRICIN'!$BQ$2:$BQ$24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23973.743738539666</c:v>
                </c:pt>
                <c:pt idx="2">
                  <c:v>23989.036680235142</c:v>
                </c:pt>
                <c:pt idx="3">
                  <c:v>24264.43517848503</c:v>
                </c:pt>
                <c:pt idx="4">
                  <c:v>24722.771387013399</c:v>
                </c:pt>
                <c:pt idx="5">
                  <c:v>24512.243338291202</c:v>
                </c:pt>
                <c:pt idx="6">
                  <c:v>24608.120655458533</c:v>
                </c:pt>
                <c:pt idx="7">
                  <c:v>24522.364456653235</c:v>
                </c:pt>
                <c:pt idx="8">
                  <c:v>24844.328215025587</c:v>
                </c:pt>
                <c:pt idx="9">
                  <c:v>24980.57861495878</c:v>
                </c:pt>
                <c:pt idx="10">
                  <c:v>25146.15721758443</c:v>
                </c:pt>
                <c:pt idx="11">
                  <c:v>24922.773151663179</c:v>
                </c:pt>
                <c:pt idx="12">
                  <c:v>25131.877038170998</c:v>
                </c:pt>
                <c:pt idx="13">
                  <c:v>25269.989171221401</c:v>
                </c:pt>
                <c:pt idx="14">
                  <c:v>24565.065520687509</c:v>
                </c:pt>
                <c:pt idx="15">
                  <c:v>24793.072810297494</c:v>
                </c:pt>
                <c:pt idx="16">
                  <c:v>24452.476448770085</c:v>
                </c:pt>
                <c:pt idx="17">
                  <c:v>24644.368475590454</c:v>
                </c:pt>
                <c:pt idx="18">
                  <c:v>24463.692133005225</c:v>
                </c:pt>
                <c:pt idx="19">
                  <c:v>24497.776858941968</c:v>
                </c:pt>
                <c:pt idx="20">
                  <c:v>24478.96722363869</c:v>
                </c:pt>
                <c:pt idx="21">
                  <c:v>24415.763397825172</c:v>
                </c:pt>
                <c:pt idx="22">
                  <c:v>24391.527306490363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759-46B5-908F-CC51FB0D9C94}"/>
            </c:ext>
          </c:extLst>
        </c:ser>
        <c:ser>
          <c:idx val="60"/>
          <c:order val="60"/>
          <c:tx>
            <c:strRef>
              <c:f>'NIFTY-Scientific, OPTION PRICIN'!$BR$1</c:f>
              <c:strCache>
                <c:ptCount val="1"/>
                <c:pt idx="0">
                  <c:v>Path 61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PRICIN'!$BR$2:$BR$24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24318.402048479835</c:v>
                </c:pt>
                <c:pt idx="2">
                  <c:v>24199.614777230654</c:v>
                </c:pt>
                <c:pt idx="3">
                  <c:v>24038.47962707057</c:v>
                </c:pt>
                <c:pt idx="4">
                  <c:v>24403.255559757097</c:v>
                </c:pt>
                <c:pt idx="5">
                  <c:v>24600.519888077044</c:v>
                </c:pt>
                <c:pt idx="6">
                  <c:v>24725.633546602301</c:v>
                </c:pt>
                <c:pt idx="7">
                  <c:v>24758.689015723587</c:v>
                </c:pt>
                <c:pt idx="8">
                  <c:v>24955.8259791374</c:v>
                </c:pt>
                <c:pt idx="9">
                  <c:v>25142.868962491881</c:v>
                </c:pt>
                <c:pt idx="10">
                  <c:v>25189.399533274693</c:v>
                </c:pt>
                <c:pt idx="11">
                  <c:v>24998.492974272831</c:v>
                </c:pt>
                <c:pt idx="12">
                  <c:v>25016.647170002994</c:v>
                </c:pt>
                <c:pt idx="13">
                  <c:v>25186.066385635258</c:v>
                </c:pt>
                <c:pt idx="14">
                  <c:v>24986.711064042131</c:v>
                </c:pt>
                <c:pt idx="15">
                  <c:v>25063.284480202012</c:v>
                </c:pt>
                <c:pt idx="16">
                  <c:v>25460.376936660181</c:v>
                </c:pt>
                <c:pt idx="17">
                  <c:v>25313.653101952117</c:v>
                </c:pt>
                <c:pt idx="18">
                  <c:v>25530.84572996225</c:v>
                </c:pt>
                <c:pt idx="19">
                  <c:v>25427.323195905094</c:v>
                </c:pt>
                <c:pt idx="20">
                  <c:v>25395.566367006646</c:v>
                </c:pt>
                <c:pt idx="21">
                  <c:v>25486.696723575427</c:v>
                </c:pt>
                <c:pt idx="22">
                  <c:v>25343.516070230351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759-46B5-908F-CC51FB0D9C94}"/>
            </c:ext>
          </c:extLst>
        </c:ser>
        <c:ser>
          <c:idx val="61"/>
          <c:order val="61"/>
          <c:tx>
            <c:strRef>
              <c:f>'NIFTY-Scientific, OPTION PRICIN'!$BS$1</c:f>
              <c:strCache>
                <c:ptCount val="1"/>
                <c:pt idx="0">
                  <c:v>Path 62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PRICIN'!$BS$2:$BS$24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23967.458016220073</c:v>
                </c:pt>
                <c:pt idx="2">
                  <c:v>23681.939922967802</c:v>
                </c:pt>
                <c:pt idx="3">
                  <c:v>23522.37930438916</c:v>
                </c:pt>
                <c:pt idx="4">
                  <c:v>23412.127405010218</c:v>
                </c:pt>
                <c:pt idx="5">
                  <c:v>23501.407963741225</c:v>
                </c:pt>
                <c:pt idx="6">
                  <c:v>23511.395562877766</c:v>
                </c:pt>
                <c:pt idx="7">
                  <c:v>23414.626615211509</c:v>
                </c:pt>
                <c:pt idx="8">
                  <c:v>23573.483455858237</c:v>
                </c:pt>
                <c:pt idx="9">
                  <c:v>23452.127413301601</c:v>
                </c:pt>
                <c:pt idx="10">
                  <c:v>23701.180804941534</c:v>
                </c:pt>
                <c:pt idx="11">
                  <c:v>24026.492183640999</c:v>
                </c:pt>
                <c:pt idx="12">
                  <c:v>23980.349426436278</c:v>
                </c:pt>
                <c:pt idx="13">
                  <c:v>23863.831853628846</c:v>
                </c:pt>
                <c:pt idx="14">
                  <c:v>23573.974782683959</c:v>
                </c:pt>
                <c:pt idx="15">
                  <c:v>23386.92394311725</c:v>
                </c:pt>
                <c:pt idx="16">
                  <c:v>23182.642822616028</c:v>
                </c:pt>
                <c:pt idx="17">
                  <c:v>23095.123983362831</c:v>
                </c:pt>
                <c:pt idx="18">
                  <c:v>23171.304345051802</c:v>
                </c:pt>
                <c:pt idx="19">
                  <c:v>23538.397801113351</c:v>
                </c:pt>
                <c:pt idx="20">
                  <c:v>23334.872517291813</c:v>
                </c:pt>
                <c:pt idx="21">
                  <c:v>23419.481713505764</c:v>
                </c:pt>
                <c:pt idx="22">
                  <c:v>23351.689815138379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759-46B5-908F-CC51FB0D9C94}"/>
            </c:ext>
          </c:extLst>
        </c:ser>
        <c:ser>
          <c:idx val="62"/>
          <c:order val="62"/>
          <c:tx>
            <c:strRef>
              <c:f>'NIFTY-Scientific, OPTION PRICIN'!$BT$1</c:f>
              <c:strCache>
                <c:ptCount val="1"/>
                <c:pt idx="0">
                  <c:v>Path 63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PRICIN'!$BT$2:$BT$24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24003.902849491638</c:v>
                </c:pt>
                <c:pt idx="2">
                  <c:v>24082.033526899275</c:v>
                </c:pt>
                <c:pt idx="3">
                  <c:v>24321.987014362901</c:v>
                </c:pt>
                <c:pt idx="4">
                  <c:v>24115.641950203018</c:v>
                </c:pt>
                <c:pt idx="5">
                  <c:v>23755.351352089634</c:v>
                </c:pt>
                <c:pt idx="6">
                  <c:v>23930.829801529395</c:v>
                </c:pt>
                <c:pt idx="7">
                  <c:v>24013.257007644297</c:v>
                </c:pt>
                <c:pt idx="8">
                  <c:v>23778.663682424296</c:v>
                </c:pt>
                <c:pt idx="9">
                  <c:v>23799.82347490422</c:v>
                </c:pt>
                <c:pt idx="10">
                  <c:v>23558.633337037165</c:v>
                </c:pt>
                <c:pt idx="11">
                  <c:v>23560.412404849001</c:v>
                </c:pt>
                <c:pt idx="12">
                  <c:v>23609.954588260141</c:v>
                </c:pt>
                <c:pt idx="13">
                  <c:v>23289.204139695001</c:v>
                </c:pt>
                <c:pt idx="14">
                  <c:v>23022.898828419526</c:v>
                </c:pt>
                <c:pt idx="15">
                  <c:v>22996.329460179051</c:v>
                </c:pt>
                <c:pt idx="16">
                  <c:v>23187.386189610883</c:v>
                </c:pt>
                <c:pt idx="17">
                  <c:v>23111.736425285726</c:v>
                </c:pt>
                <c:pt idx="18">
                  <c:v>22993.076258671575</c:v>
                </c:pt>
                <c:pt idx="19">
                  <c:v>23229.707145930282</c:v>
                </c:pt>
                <c:pt idx="20">
                  <c:v>23638.707298273381</c:v>
                </c:pt>
                <c:pt idx="21">
                  <c:v>23330.910143688096</c:v>
                </c:pt>
                <c:pt idx="22">
                  <c:v>23172.968229235776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759-46B5-908F-CC51FB0D9C94}"/>
            </c:ext>
          </c:extLst>
        </c:ser>
        <c:ser>
          <c:idx val="63"/>
          <c:order val="63"/>
          <c:tx>
            <c:strRef>
              <c:f>'NIFTY-Scientific, OPTION PRICIN'!$BU$1</c:f>
              <c:strCache>
                <c:ptCount val="1"/>
                <c:pt idx="0">
                  <c:v>Path 64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PRICIN'!$BU$2:$BU$24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24419.460524607588</c:v>
                </c:pt>
                <c:pt idx="2">
                  <c:v>24747.288050099753</c:v>
                </c:pt>
                <c:pt idx="3">
                  <c:v>24966.824688040426</c:v>
                </c:pt>
                <c:pt idx="4">
                  <c:v>25554.120643171838</c:v>
                </c:pt>
                <c:pt idx="5">
                  <c:v>25613.815007969599</c:v>
                </c:pt>
                <c:pt idx="6">
                  <c:v>25378.735162086152</c:v>
                </c:pt>
                <c:pt idx="7">
                  <c:v>25497.920607921013</c:v>
                </c:pt>
                <c:pt idx="8">
                  <c:v>25342.221486906365</c:v>
                </c:pt>
                <c:pt idx="9">
                  <c:v>25431.487613476704</c:v>
                </c:pt>
                <c:pt idx="10">
                  <c:v>24939.406134252771</c:v>
                </c:pt>
                <c:pt idx="11">
                  <c:v>24989.338938980134</c:v>
                </c:pt>
                <c:pt idx="12">
                  <c:v>25193.666042958223</c:v>
                </c:pt>
                <c:pt idx="13">
                  <c:v>25205.485846174441</c:v>
                </c:pt>
                <c:pt idx="14">
                  <c:v>25082.856672569236</c:v>
                </c:pt>
                <c:pt idx="15">
                  <c:v>25076.655350115394</c:v>
                </c:pt>
                <c:pt idx="16">
                  <c:v>24971.995267202517</c:v>
                </c:pt>
                <c:pt idx="17">
                  <c:v>24965.753627071699</c:v>
                </c:pt>
                <c:pt idx="18">
                  <c:v>24456.291516430527</c:v>
                </c:pt>
                <c:pt idx="19">
                  <c:v>25114.650179502452</c:v>
                </c:pt>
                <c:pt idx="20">
                  <c:v>25185.807141987774</c:v>
                </c:pt>
                <c:pt idx="21">
                  <c:v>25417.596248398811</c:v>
                </c:pt>
                <c:pt idx="22">
                  <c:v>25223.627650143531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759-46B5-908F-CC51FB0D9C94}"/>
            </c:ext>
          </c:extLst>
        </c:ser>
        <c:ser>
          <c:idx val="64"/>
          <c:order val="64"/>
          <c:tx>
            <c:strRef>
              <c:f>'NIFTY-Scientific, OPTION PRICIN'!$BV$1</c:f>
              <c:strCache>
                <c:ptCount val="1"/>
                <c:pt idx="0">
                  <c:v>Path 65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PRICIN'!$BV$2:$BV$24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23851.52665862938</c:v>
                </c:pt>
                <c:pt idx="2">
                  <c:v>23847.987923700795</c:v>
                </c:pt>
                <c:pt idx="3">
                  <c:v>23639.565235307728</c:v>
                </c:pt>
                <c:pt idx="4">
                  <c:v>23712.569091115758</c:v>
                </c:pt>
                <c:pt idx="5">
                  <c:v>24016.784950231297</c:v>
                </c:pt>
                <c:pt idx="6">
                  <c:v>24329.682178963005</c:v>
                </c:pt>
                <c:pt idx="7">
                  <c:v>24197.084083828424</c:v>
                </c:pt>
                <c:pt idx="8">
                  <c:v>24000.522421938</c:v>
                </c:pt>
                <c:pt idx="9">
                  <c:v>23962.851763520986</c:v>
                </c:pt>
                <c:pt idx="10">
                  <c:v>23917.620778360684</c:v>
                </c:pt>
                <c:pt idx="11">
                  <c:v>23908.210519598077</c:v>
                </c:pt>
                <c:pt idx="12">
                  <c:v>23971.12900111666</c:v>
                </c:pt>
                <c:pt idx="13">
                  <c:v>24063.107456724832</c:v>
                </c:pt>
                <c:pt idx="14">
                  <c:v>23664.867691684743</c:v>
                </c:pt>
                <c:pt idx="15">
                  <c:v>23939.284768737485</c:v>
                </c:pt>
                <c:pt idx="16">
                  <c:v>23992.002969215191</c:v>
                </c:pt>
                <c:pt idx="17">
                  <c:v>24404.93265353766</c:v>
                </c:pt>
                <c:pt idx="18">
                  <c:v>24198.156624384959</c:v>
                </c:pt>
                <c:pt idx="19">
                  <c:v>24307.603671391891</c:v>
                </c:pt>
                <c:pt idx="20">
                  <c:v>24613.970618236712</c:v>
                </c:pt>
                <c:pt idx="21">
                  <c:v>24433.689419965929</c:v>
                </c:pt>
                <c:pt idx="22">
                  <c:v>24150.184170590113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759-46B5-908F-CC51FB0D9C94}"/>
            </c:ext>
          </c:extLst>
        </c:ser>
        <c:ser>
          <c:idx val="65"/>
          <c:order val="65"/>
          <c:tx>
            <c:strRef>
              <c:f>'NIFTY-Scientific, OPTION PRICIN'!$BW$1</c:f>
              <c:strCache>
                <c:ptCount val="1"/>
                <c:pt idx="0">
                  <c:v>Path 66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PRICIN'!$BW$2:$BW$24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23833.418557402663</c:v>
                </c:pt>
                <c:pt idx="2">
                  <c:v>24363.695838599444</c:v>
                </c:pt>
                <c:pt idx="3">
                  <c:v>24670.755102811665</c:v>
                </c:pt>
                <c:pt idx="4">
                  <c:v>24645.381562445655</c:v>
                </c:pt>
                <c:pt idx="5">
                  <c:v>24446.307511618823</c:v>
                </c:pt>
                <c:pt idx="6">
                  <c:v>24428.115566800945</c:v>
                </c:pt>
                <c:pt idx="7">
                  <c:v>24550.879366500805</c:v>
                </c:pt>
                <c:pt idx="8">
                  <c:v>24393.243006414745</c:v>
                </c:pt>
                <c:pt idx="9">
                  <c:v>24851.484559801185</c:v>
                </c:pt>
                <c:pt idx="10">
                  <c:v>25160.902417107904</c:v>
                </c:pt>
                <c:pt idx="11">
                  <c:v>24869.936180677742</c:v>
                </c:pt>
                <c:pt idx="12">
                  <c:v>24698.463851572658</c:v>
                </c:pt>
                <c:pt idx="13">
                  <c:v>24742.850807401763</c:v>
                </c:pt>
                <c:pt idx="14">
                  <c:v>25119.224187088694</c:v>
                </c:pt>
                <c:pt idx="15">
                  <c:v>24901.932734388989</c:v>
                </c:pt>
                <c:pt idx="16">
                  <c:v>24936.613427777062</c:v>
                </c:pt>
                <c:pt idx="17">
                  <c:v>24744.556115335603</c:v>
                </c:pt>
                <c:pt idx="18">
                  <c:v>24710.898140971694</c:v>
                </c:pt>
                <c:pt idx="19">
                  <c:v>24941.745490832356</c:v>
                </c:pt>
                <c:pt idx="20">
                  <c:v>25017.299607476918</c:v>
                </c:pt>
                <c:pt idx="21">
                  <c:v>25111.40479955119</c:v>
                </c:pt>
                <c:pt idx="22">
                  <c:v>25386.664791621442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759-46B5-908F-CC51FB0D9C94}"/>
            </c:ext>
          </c:extLst>
        </c:ser>
        <c:ser>
          <c:idx val="66"/>
          <c:order val="66"/>
          <c:tx>
            <c:strRef>
              <c:f>'NIFTY-Scientific, OPTION PRICIN'!$BX$1</c:f>
              <c:strCache>
                <c:ptCount val="1"/>
                <c:pt idx="0">
                  <c:v>Path 67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PRICIN'!$BX$2:$BX$24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24074.88630958688</c:v>
                </c:pt>
                <c:pt idx="2">
                  <c:v>24144.073815995871</c:v>
                </c:pt>
                <c:pt idx="3">
                  <c:v>23918.520586884617</c:v>
                </c:pt>
                <c:pt idx="4">
                  <c:v>23923.738460202465</c:v>
                </c:pt>
                <c:pt idx="5">
                  <c:v>23842.632059827447</c:v>
                </c:pt>
                <c:pt idx="6">
                  <c:v>24070.346301833608</c:v>
                </c:pt>
                <c:pt idx="7">
                  <c:v>23938.408209591187</c:v>
                </c:pt>
                <c:pt idx="8">
                  <c:v>24202.319680575223</c:v>
                </c:pt>
                <c:pt idx="9">
                  <c:v>24338.439895589629</c:v>
                </c:pt>
                <c:pt idx="10">
                  <c:v>24466.638800407214</c:v>
                </c:pt>
                <c:pt idx="11">
                  <c:v>24676.826871638383</c:v>
                </c:pt>
                <c:pt idx="12">
                  <c:v>24878.078814061148</c:v>
                </c:pt>
                <c:pt idx="13">
                  <c:v>24905.145320175572</c:v>
                </c:pt>
                <c:pt idx="14">
                  <c:v>25311.323183956174</c:v>
                </c:pt>
                <c:pt idx="15">
                  <c:v>25024.422069396594</c:v>
                </c:pt>
                <c:pt idx="16">
                  <c:v>24720.56496665868</c:v>
                </c:pt>
                <c:pt idx="17">
                  <c:v>25167.365395106823</c:v>
                </c:pt>
                <c:pt idx="18">
                  <c:v>25051.744833420133</c:v>
                </c:pt>
                <c:pt idx="19">
                  <c:v>25131.901910492514</c:v>
                </c:pt>
                <c:pt idx="20">
                  <c:v>25136.789407223459</c:v>
                </c:pt>
                <c:pt idx="21">
                  <c:v>25339.280401068412</c:v>
                </c:pt>
                <c:pt idx="22">
                  <c:v>25197.253429387179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759-46B5-908F-CC51FB0D9C94}"/>
            </c:ext>
          </c:extLst>
        </c:ser>
        <c:ser>
          <c:idx val="67"/>
          <c:order val="67"/>
          <c:tx>
            <c:strRef>
              <c:f>'NIFTY-Scientific, OPTION PRICIN'!$BY$1</c:f>
              <c:strCache>
                <c:ptCount val="1"/>
                <c:pt idx="0">
                  <c:v>Path 68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PRICIN'!$BY$2:$BY$24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24062.135811542834</c:v>
                </c:pt>
                <c:pt idx="2">
                  <c:v>24008.522768007348</c:v>
                </c:pt>
                <c:pt idx="3">
                  <c:v>24355.533314310665</c:v>
                </c:pt>
                <c:pt idx="4">
                  <c:v>24399.933992483249</c:v>
                </c:pt>
                <c:pt idx="5">
                  <c:v>24455.574984968418</c:v>
                </c:pt>
                <c:pt idx="6">
                  <c:v>24085.691258622057</c:v>
                </c:pt>
                <c:pt idx="7">
                  <c:v>24355.662019120682</c:v>
                </c:pt>
                <c:pt idx="8">
                  <c:v>24169.99533932369</c:v>
                </c:pt>
                <c:pt idx="9">
                  <c:v>24110.347018324304</c:v>
                </c:pt>
                <c:pt idx="10">
                  <c:v>24279.796201183552</c:v>
                </c:pt>
                <c:pt idx="11">
                  <c:v>24403.551422438333</c:v>
                </c:pt>
                <c:pt idx="12">
                  <c:v>24355.059643766319</c:v>
                </c:pt>
                <c:pt idx="13">
                  <c:v>24279.577580014233</c:v>
                </c:pt>
                <c:pt idx="14">
                  <c:v>24327.110808835143</c:v>
                </c:pt>
                <c:pt idx="15">
                  <c:v>24289.810323739242</c:v>
                </c:pt>
                <c:pt idx="16">
                  <c:v>24644.142971573303</c:v>
                </c:pt>
                <c:pt idx="17">
                  <c:v>24247.810009048742</c:v>
                </c:pt>
                <c:pt idx="18">
                  <c:v>23969.676189142017</c:v>
                </c:pt>
                <c:pt idx="19">
                  <c:v>24060.544344141461</c:v>
                </c:pt>
                <c:pt idx="20">
                  <c:v>24219.865505204354</c:v>
                </c:pt>
                <c:pt idx="21">
                  <c:v>24107.577798754304</c:v>
                </c:pt>
                <c:pt idx="22">
                  <c:v>24335.312631210345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759-46B5-908F-CC51FB0D9C94}"/>
            </c:ext>
          </c:extLst>
        </c:ser>
        <c:ser>
          <c:idx val="68"/>
          <c:order val="68"/>
          <c:tx>
            <c:strRef>
              <c:f>'NIFTY-Scientific, OPTION PRICIN'!$BZ$1</c:f>
              <c:strCache>
                <c:ptCount val="1"/>
                <c:pt idx="0">
                  <c:v>Path 69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PRICIN'!$BZ$2:$BZ$24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23754.403707506302</c:v>
                </c:pt>
                <c:pt idx="2">
                  <c:v>23485.392404926231</c:v>
                </c:pt>
                <c:pt idx="3">
                  <c:v>23852.459957899631</c:v>
                </c:pt>
                <c:pt idx="4">
                  <c:v>23787.204217909464</c:v>
                </c:pt>
                <c:pt idx="5">
                  <c:v>23439.216674363772</c:v>
                </c:pt>
                <c:pt idx="6">
                  <c:v>22995.571206450732</c:v>
                </c:pt>
                <c:pt idx="7">
                  <c:v>22953.273595324936</c:v>
                </c:pt>
                <c:pt idx="8">
                  <c:v>22838.805257442065</c:v>
                </c:pt>
                <c:pt idx="9">
                  <c:v>22703.334892875791</c:v>
                </c:pt>
                <c:pt idx="10">
                  <c:v>22502.541386212346</c:v>
                </c:pt>
                <c:pt idx="11">
                  <c:v>22319.303264416936</c:v>
                </c:pt>
                <c:pt idx="12">
                  <c:v>22613.568685382892</c:v>
                </c:pt>
                <c:pt idx="13">
                  <c:v>22636.553223818573</c:v>
                </c:pt>
                <c:pt idx="14">
                  <c:v>22765.64019497102</c:v>
                </c:pt>
                <c:pt idx="15">
                  <c:v>22707.571478769212</c:v>
                </c:pt>
                <c:pt idx="16">
                  <c:v>22504.645677373886</c:v>
                </c:pt>
                <c:pt idx="17">
                  <c:v>22317.912074678105</c:v>
                </c:pt>
                <c:pt idx="18">
                  <c:v>22249.332038593489</c:v>
                </c:pt>
                <c:pt idx="19">
                  <c:v>22165.35784280697</c:v>
                </c:pt>
                <c:pt idx="20">
                  <c:v>22002.76151589099</c:v>
                </c:pt>
                <c:pt idx="21">
                  <c:v>22224.788665012609</c:v>
                </c:pt>
                <c:pt idx="22">
                  <c:v>22303.619633653216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5759-46B5-908F-CC51FB0D9C94}"/>
            </c:ext>
          </c:extLst>
        </c:ser>
        <c:ser>
          <c:idx val="69"/>
          <c:order val="69"/>
          <c:tx>
            <c:strRef>
              <c:f>'NIFTY-Scientific, OPTION PRICIN'!$CA$1</c:f>
              <c:strCache>
                <c:ptCount val="1"/>
                <c:pt idx="0">
                  <c:v>Path 70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PRICIN'!$CA$2:$CA$24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24233.646970313559</c:v>
                </c:pt>
                <c:pt idx="2">
                  <c:v>24056.151494067723</c:v>
                </c:pt>
                <c:pt idx="3">
                  <c:v>23919.95401125848</c:v>
                </c:pt>
                <c:pt idx="4">
                  <c:v>23790.356165185127</c:v>
                </c:pt>
                <c:pt idx="5">
                  <c:v>23798.543668514405</c:v>
                </c:pt>
                <c:pt idx="6">
                  <c:v>23691.065476186068</c:v>
                </c:pt>
                <c:pt idx="7">
                  <c:v>24126.233696395873</c:v>
                </c:pt>
                <c:pt idx="8">
                  <c:v>24146.898602726062</c:v>
                </c:pt>
                <c:pt idx="9">
                  <c:v>24058.274919049942</c:v>
                </c:pt>
                <c:pt idx="10">
                  <c:v>24103.554023238288</c:v>
                </c:pt>
                <c:pt idx="11">
                  <c:v>23802.023884561222</c:v>
                </c:pt>
                <c:pt idx="12">
                  <c:v>23893.838387415264</c:v>
                </c:pt>
                <c:pt idx="13">
                  <c:v>24293.849148029287</c:v>
                </c:pt>
                <c:pt idx="14">
                  <c:v>24457.28675508732</c:v>
                </c:pt>
                <c:pt idx="15">
                  <c:v>24602.604293617613</c:v>
                </c:pt>
                <c:pt idx="16">
                  <c:v>24519.992652312249</c:v>
                </c:pt>
                <c:pt idx="17">
                  <c:v>24704.094867078846</c:v>
                </c:pt>
                <c:pt idx="18">
                  <c:v>24613.393517145247</c:v>
                </c:pt>
                <c:pt idx="19">
                  <c:v>24867.279242633438</c:v>
                </c:pt>
                <c:pt idx="20">
                  <c:v>25263.140121551231</c:v>
                </c:pt>
                <c:pt idx="21">
                  <c:v>25391.816695511017</c:v>
                </c:pt>
                <c:pt idx="22">
                  <c:v>25821.588292108081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759-46B5-908F-CC51FB0D9C94}"/>
            </c:ext>
          </c:extLst>
        </c:ser>
        <c:ser>
          <c:idx val="70"/>
          <c:order val="70"/>
          <c:tx>
            <c:strRef>
              <c:f>'NIFTY-Scientific, OPTION PRICIN'!$CB$1</c:f>
              <c:strCache>
                <c:ptCount val="1"/>
                <c:pt idx="0">
                  <c:v>Path 71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PRICIN'!$CB$2:$CB$24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24273.912741916331</c:v>
                </c:pt>
                <c:pt idx="2">
                  <c:v>24052.263050465666</c:v>
                </c:pt>
                <c:pt idx="3">
                  <c:v>24026.952580655565</c:v>
                </c:pt>
                <c:pt idx="4">
                  <c:v>24334.276977116737</c:v>
                </c:pt>
                <c:pt idx="5">
                  <c:v>24435.378604877547</c:v>
                </c:pt>
                <c:pt idx="6">
                  <c:v>24697.630289623437</c:v>
                </c:pt>
                <c:pt idx="7">
                  <c:v>24461.696218415338</c:v>
                </c:pt>
                <c:pt idx="8">
                  <c:v>24949.657862198503</c:v>
                </c:pt>
                <c:pt idx="9">
                  <c:v>25062.217235592459</c:v>
                </c:pt>
                <c:pt idx="10">
                  <c:v>25208.560612029039</c:v>
                </c:pt>
                <c:pt idx="11">
                  <c:v>25098.757193499689</c:v>
                </c:pt>
                <c:pt idx="12">
                  <c:v>24912.538687054956</c:v>
                </c:pt>
                <c:pt idx="13">
                  <c:v>24806.960033570151</c:v>
                </c:pt>
                <c:pt idx="14">
                  <c:v>25034.546154013082</c:v>
                </c:pt>
                <c:pt idx="15">
                  <c:v>24947.125292614433</c:v>
                </c:pt>
                <c:pt idx="16">
                  <c:v>24667.873882666496</c:v>
                </c:pt>
                <c:pt idx="17">
                  <c:v>24786.201319412521</c:v>
                </c:pt>
                <c:pt idx="18">
                  <c:v>24209.564652453013</c:v>
                </c:pt>
                <c:pt idx="19">
                  <c:v>24112.622162997752</c:v>
                </c:pt>
                <c:pt idx="20">
                  <c:v>23957.716713918875</c:v>
                </c:pt>
                <c:pt idx="21">
                  <c:v>23958.560637728504</c:v>
                </c:pt>
                <c:pt idx="22">
                  <c:v>23696.960680144974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759-46B5-908F-CC51FB0D9C94}"/>
            </c:ext>
          </c:extLst>
        </c:ser>
        <c:ser>
          <c:idx val="71"/>
          <c:order val="71"/>
          <c:tx>
            <c:strRef>
              <c:f>'NIFTY-Scientific, OPTION PRICIN'!$CC$1</c:f>
              <c:strCache>
                <c:ptCount val="1"/>
                <c:pt idx="0">
                  <c:v>Path 72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PRICIN'!$CC$2:$CC$24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24123.493328591758</c:v>
                </c:pt>
                <c:pt idx="2">
                  <c:v>24009.899485013117</c:v>
                </c:pt>
                <c:pt idx="3">
                  <c:v>24232.758334943319</c:v>
                </c:pt>
                <c:pt idx="4">
                  <c:v>24076.628025350277</c:v>
                </c:pt>
                <c:pt idx="5">
                  <c:v>23751.015567893177</c:v>
                </c:pt>
                <c:pt idx="6">
                  <c:v>23766.176431741045</c:v>
                </c:pt>
                <c:pt idx="7">
                  <c:v>23760.292120050668</c:v>
                </c:pt>
                <c:pt idx="8">
                  <c:v>23597.581678545415</c:v>
                </c:pt>
                <c:pt idx="9">
                  <c:v>23729.564520182095</c:v>
                </c:pt>
                <c:pt idx="10">
                  <c:v>23731.901365540245</c:v>
                </c:pt>
                <c:pt idx="11">
                  <c:v>23767.36021126296</c:v>
                </c:pt>
                <c:pt idx="12">
                  <c:v>23720.661857835115</c:v>
                </c:pt>
                <c:pt idx="13">
                  <c:v>23692.076846777407</c:v>
                </c:pt>
                <c:pt idx="14">
                  <c:v>23690.913912621883</c:v>
                </c:pt>
                <c:pt idx="15">
                  <c:v>23670.92311040256</c:v>
                </c:pt>
                <c:pt idx="16">
                  <c:v>23491.412624862034</c:v>
                </c:pt>
                <c:pt idx="17">
                  <c:v>23391.72398002549</c:v>
                </c:pt>
                <c:pt idx="18">
                  <c:v>23501.755265516262</c:v>
                </c:pt>
                <c:pt idx="19">
                  <c:v>23477.254112771949</c:v>
                </c:pt>
                <c:pt idx="20">
                  <c:v>23297.083586969497</c:v>
                </c:pt>
                <c:pt idx="21">
                  <c:v>23366.458603186838</c:v>
                </c:pt>
                <c:pt idx="22">
                  <c:v>23276.25498890565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759-46B5-908F-CC51FB0D9C94}"/>
            </c:ext>
          </c:extLst>
        </c:ser>
        <c:ser>
          <c:idx val="72"/>
          <c:order val="72"/>
          <c:tx>
            <c:strRef>
              <c:f>'NIFTY-Scientific, OPTION PRICIN'!$CD$1</c:f>
              <c:strCache>
                <c:ptCount val="1"/>
                <c:pt idx="0">
                  <c:v>Path 73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PRICIN'!$CD$2:$CD$24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24172.559048467021</c:v>
                </c:pt>
                <c:pt idx="2">
                  <c:v>24273.260078552416</c:v>
                </c:pt>
                <c:pt idx="3">
                  <c:v>24239.266141121509</c:v>
                </c:pt>
                <c:pt idx="4">
                  <c:v>24372.53985048848</c:v>
                </c:pt>
                <c:pt idx="5">
                  <c:v>24647.582244141129</c:v>
                </c:pt>
                <c:pt idx="6">
                  <c:v>24673.181944903914</c:v>
                </c:pt>
                <c:pt idx="7">
                  <c:v>25059.677059809786</c:v>
                </c:pt>
                <c:pt idx="8">
                  <c:v>24656.557706403317</c:v>
                </c:pt>
                <c:pt idx="9">
                  <c:v>24902.696483111606</c:v>
                </c:pt>
                <c:pt idx="10">
                  <c:v>24894.688250437979</c:v>
                </c:pt>
                <c:pt idx="11">
                  <c:v>25045.051631879738</c:v>
                </c:pt>
                <c:pt idx="12">
                  <c:v>24928.372860454587</c:v>
                </c:pt>
                <c:pt idx="13">
                  <c:v>24610.514282826014</c:v>
                </c:pt>
                <c:pt idx="14">
                  <c:v>24626.265955087583</c:v>
                </c:pt>
                <c:pt idx="15">
                  <c:v>24642.529235957525</c:v>
                </c:pt>
                <c:pt idx="16">
                  <c:v>24625.266044633838</c:v>
                </c:pt>
                <c:pt idx="17">
                  <c:v>24500.62579194771</c:v>
                </c:pt>
                <c:pt idx="18">
                  <c:v>24817.12307235397</c:v>
                </c:pt>
                <c:pt idx="19">
                  <c:v>24712.4750358526</c:v>
                </c:pt>
                <c:pt idx="20">
                  <c:v>24478.171952946701</c:v>
                </c:pt>
                <c:pt idx="21">
                  <c:v>24115.305435896495</c:v>
                </c:pt>
                <c:pt idx="22">
                  <c:v>23754.268544483348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5759-46B5-908F-CC51FB0D9C94}"/>
            </c:ext>
          </c:extLst>
        </c:ser>
        <c:ser>
          <c:idx val="73"/>
          <c:order val="73"/>
          <c:tx>
            <c:strRef>
              <c:f>'NIFTY-Scientific, OPTION PRICIN'!$CE$1</c:f>
              <c:strCache>
                <c:ptCount val="1"/>
                <c:pt idx="0">
                  <c:v>Path 74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PRICIN'!$CE$2:$CE$24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24417.033712530403</c:v>
                </c:pt>
                <c:pt idx="2">
                  <c:v>24249.386824344099</c:v>
                </c:pt>
                <c:pt idx="3">
                  <c:v>24357.632569050464</c:v>
                </c:pt>
                <c:pt idx="4">
                  <c:v>24354.298957440056</c:v>
                </c:pt>
                <c:pt idx="5">
                  <c:v>24031.261691399304</c:v>
                </c:pt>
                <c:pt idx="6">
                  <c:v>23773.287688164852</c:v>
                </c:pt>
                <c:pt idx="7">
                  <c:v>23744.1526569954</c:v>
                </c:pt>
                <c:pt idx="8">
                  <c:v>23886.472647153543</c:v>
                </c:pt>
                <c:pt idx="9">
                  <c:v>24125.996328825389</c:v>
                </c:pt>
                <c:pt idx="10">
                  <c:v>24195.578198450879</c:v>
                </c:pt>
                <c:pt idx="11">
                  <c:v>24401.287051725736</c:v>
                </c:pt>
                <c:pt idx="12">
                  <c:v>24379.509660044834</c:v>
                </c:pt>
                <c:pt idx="13">
                  <c:v>24411.04003685715</c:v>
                </c:pt>
                <c:pt idx="14">
                  <c:v>24383.776645239126</c:v>
                </c:pt>
                <c:pt idx="15">
                  <c:v>24713.070332059193</c:v>
                </c:pt>
                <c:pt idx="16">
                  <c:v>24934.456386980874</c:v>
                </c:pt>
                <c:pt idx="17">
                  <c:v>24762.502137584106</c:v>
                </c:pt>
                <c:pt idx="18">
                  <c:v>24712.70294639215</c:v>
                </c:pt>
                <c:pt idx="19">
                  <c:v>25042.689929619417</c:v>
                </c:pt>
                <c:pt idx="20">
                  <c:v>25152.402421426748</c:v>
                </c:pt>
                <c:pt idx="21">
                  <c:v>24769.062048534161</c:v>
                </c:pt>
                <c:pt idx="22">
                  <c:v>24914.709699909901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759-46B5-908F-CC51FB0D9C94}"/>
            </c:ext>
          </c:extLst>
        </c:ser>
        <c:ser>
          <c:idx val="74"/>
          <c:order val="74"/>
          <c:tx>
            <c:strRef>
              <c:f>'NIFTY-Scientific, OPTION PRICIN'!$CF$1</c:f>
              <c:strCache>
                <c:ptCount val="1"/>
                <c:pt idx="0">
                  <c:v>Path 75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PRICIN'!$CF$2:$CF$24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24169.128630411982</c:v>
                </c:pt>
                <c:pt idx="2">
                  <c:v>24122.586922031307</c:v>
                </c:pt>
                <c:pt idx="3">
                  <c:v>24091.829946098467</c:v>
                </c:pt>
                <c:pt idx="4">
                  <c:v>24065.818061491816</c:v>
                </c:pt>
                <c:pt idx="5">
                  <c:v>23861.333535096892</c:v>
                </c:pt>
                <c:pt idx="6">
                  <c:v>23731.410345272703</c:v>
                </c:pt>
                <c:pt idx="7">
                  <c:v>23502.661807574925</c:v>
                </c:pt>
                <c:pt idx="8">
                  <c:v>23661.957600611262</c:v>
                </c:pt>
                <c:pt idx="9">
                  <c:v>23622.179192260923</c:v>
                </c:pt>
                <c:pt idx="10">
                  <c:v>23592.950333347238</c:v>
                </c:pt>
                <c:pt idx="11">
                  <c:v>23417.533510023968</c:v>
                </c:pt>
                <c:pt idx="12">
                  <c:v>23518.374641312141</c:v>
                </c:pt>
                <c:pt idx="13">
                  <c:v>23847.621721670032</c:v>
                </c:pt>
                <c:pt idx="14">
                  <c:v>24031.418430704962</c:v>
                </c:pt>
                <c:pt idx="15">
                  <c:v>24280.312713009007</c:v>
                </c:pt>
                <c:pt idx="16">
                  <c:v>24486.663078135036</c:v>
                </c:pt>
                <c:pt idx="17">
                  <c:v>24388.16322105697</c:v>
                </c:pt>
                <c:pt idx="18">
                  <c:v>24346.13823893989</c:v>
                </c:pt>
                <c:pt idx="19">
                  <c:v>23963.964055254499</c:v>
                </c:pt>
                <c:pt idx="20">
                  <c:v>24197.5560639828</c:v>
                </c:pt>
                <c:pt idx="21">
                  <c:v>23957.175615965632</c:v>
                </c:pt>
                <c:pt idx="22">
                  <c:v>24122.359982119888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5759-46B5-908F-CC51FB0D9C94}"/>
            </c:ext>
          </c:extLst>
        </c:ser>
        <c:ser>
          <c:idx val="75"/>
          <c:order val="75"/>
          <c:tx>
            <c:strRef>
              <c:f>'NIFTY-Scientific, OPTION PRICIN'!$CG$1</c:f>
              <c:strCache>
                <c:ptCount val="1"/>
                <c:pt idx="0">
                  <c:v>Path 76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PRICIN'!$CG$2:$CG$24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24431.574267933207</c:v>
                </c:pt>
                <c:pt idx="2">
                  <c:v>24133.4976376128</c:v>
                </c:pt>
                <c:pt idx="3">
                  <c:v>24027.480843117271</c:v>
                </c:pt>
                <c:pt idx="4">
                  <c:v>24278.853164040309</c:v>
                </c:pt>
                <c:pt idx="5">
                  <c:v>24149.439898322344</c:v>
                </c:pt>
                <c:pt idx="6">
                  <c:v>23744.843474129138</c:v>
                </c:pt>
                <c:pt idx="7">
                  <c:v>23684.325926884398</c:v>
                </c:pt>
                <c:pt idx="8">
                  <c:v>23584.736004216695</c:v>
                </c:pt>
                <c:pt idx="9">
                  <c:v>23711.727202910981</c:v>
                </c:pt>
                <c:pt idx="10">
                  <c:v>23595.089898077582</c:v>
                </c:pt>
                <c:pt idx="11">
                  <c:v>23839.85569057893</c:v>
                </c:pt>
                <c:pt idx="12">
                  <c:v>23770.569238285439</c:v>
                </c:pt>
                <c:pt idx="13">
                  <c:v>23714.728972988069</c:v>
                </c:pt>
                <c:pt idx="14">
                  <c:v>23747.850007058314</c:v>
                </c:pt>
                <c:pt idx="15">
                  <c:v>23627.112351213913</c:v>
                </c:pt>
                <c:pt idx="16">
                  <c:v>24047.739513530072</c:v>
                </c:pt>
                <c:pt idx="17">
                  <c:v>24365.231055397962</c:v>
                </c:pt>
                <c:pt idx="18">
                  <c:v>24076.5061504435</c:v>
                </c:pt>
                <c:pt idx="19">
                  <c:v>24076.690867218815</c:v>
                </c:pt>
                <c:pt idx="20">
                  <c:v>24567.577153726936</c:v>
                </c:pt>
                <c:pt idx="21">
                  <c:v>24698.680811464721</c:v>
                </c:pt>
                <c:pt idx="22">
                  <c:v>24731.320329622606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759-46B5-908F-CC51FB0D9C94}"/>
            </c:ext>
          </c:extLst>
        </c:ser>
        <c:ser>
          <c:idx val="76"/>
          <c:order val="76"/>
          <c:tx>
            <c:strRef>
              <c:f>'NIFTY-Scientific, OPTION PRICIN'!$CH$1</c:f>
              <c:strCache>
                <c:ptCount val="1"/>
                <c:pt idx="0">
                  <c:v>Path 77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PRICIN'!$CH$2:$CH$24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23736.373732286855</c:v>
                </c:pt>
                <c:pt idx="2">
                  <c:v>23855.208141087176</c:v>
                </c:pt>
                <c:pt idx="3">
                  <c:v>23577.278540300558</c:v>
                </c:pt>
                <c:pt idx="4">
                  <c:v>23762.494371187862</c:v>
                </c:pt>
                <c:pt idx="5">
                  <c:v>23710.64529573403</c:v>
                </c:pt>
                <c:pt idx="6">
                  <c:v>23462.843974465188</c:v>
                </c:pt>
                <c:pt idx="7">
                  <c:v>23555.166139580411</c:v>
                </c:pt>
                <c:pt idx="8">
                  <c:v>23443.415799566836</c:v>
                </c:pt>
                <c:pt idx="9">
                  <c:v>23452.992122318858</c:v>
                </c:pt>
                <c:pt idx="10">
                  <c:v>23563.570141047439</c:v>
                </c:pt>
                <c:pt idx="11">
                  <c:v>23829.40679237133</c:v>
                </c:pt>
                <c:pt idx="12">
                  <c:v>23701.473184811006</c:v>
                </c:pt>
                <c:pt idx="13">
                  <c:v>23766.485035171063</c:v>
                </c:pt>
                <c:pt idx="14">
                  <c:v>23811.948636521334</c:v>
                </c:pt>
                <c:pt idx="15">
                  <c:v>24111.162896252223</c:v>
                </c:pt>
                <c:pt idx="16">
                  <c:v>24185.917251315139</c:v>
                </c:pt>
                <c:pt idx="17">
                  <c:v>24073.751595919628</c:v>
                </c:pt>
                <c:pt idx="18">
                  <c:v>23971.367563128228</c:v>
                </c:pt>
                <c:pt idx="19">
                  <c:v>23961.947621349209</c:v>
                </c:pt>
                <c:pt idx="20">
                  <c:v>23658.321704472342</c:v>
                </c:pt>
                <c:pt idx="21">
                  <c:v>23497.364812937227</c:v>
                </c:pt>
                <c:pt idx="22">
                  <c:v>23609.976220036526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5759-46B5-908F-CC51FB0D9C94}"/>
            </c:ext>
          </c:extLst>
        </c:ser>
        <c:ser>
          <c:idx val="77"/>
          <c:order val="77"/>
          <c:tx>
            <c:strRef>
              <c:f>'NIFTY-Scientific, OPTION PRICIN'!$CI$1</c:f>
              <c:strCache>
                <c:ptCount val="1"/>
                <c:pt idx="0">
                  <c:v>Path 78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PRICIN'!$CI$2:$CI$24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24175.816584892091</c:v>
                </c:pt>
                <c:pt idx="2">
                  <c:v>24368.276899775075</c:v>
                </c:pt>
                <c:pt idx="3">
                  <c:v>24210.156061477679</c:v>
                </c:pt>
                <c:pt idx="4">
                  <c:v>24131.983514805575</c:v>
                </c:pt>
                <c:pt idx="5">
                  <c:v>24389.499286235339</c:v>
                </c:pt>
                <c:pt idx="6">
                  <c:v>23928.185748598007</c:v>
                </c:pt>
                <c:pt idx="7">
                  <c:v>23957.211409304855</c:v>
                </c:pt>
                <c:pt idx="8">
                  <c:v>23751.259230404394</c:v>
                </c:pt>
                <c:pt idx="9">
                  <c:v>23723.306302620389</c:v>
                </c:pt>
                <c:pt idx="10">
                  <c:v>23526.892980332868</c:v>
                </c:pt>
                <c:pt idx="11">
                  <c:v>23327.91296770503</c:v>
                </c:pt>
                <c:pt idx="12">
                  <c:v>23142.14466292048</c:v>
                </c:pt>
                <c:pt idx="13">
                  <c:v>23410.479211488229</c:v>
                </c:pt>
                <c:pt idx="14">
                  <c:v>23365.960951451645</c:v>
                </c:pt>
                <c:pt idx="15">
                  <c:v>23240.039476431819</c:v>
                </c:pt>
                <c:pt idx="16">
                  <c:v>23036.225370949865</c:v>
                </c:pt>
                <c:pt idx="17">
                  <c:v>22770.293323166581</c:v>
                </c:pt>
                <c:pt idx="18">
                  <c:v>22723.518977180171</c:v>
                </c:pt>
                <c:pt idx="19">
                  <c:v>22961.491243269302</c:v>
                </c:pt>
                <c:pt idx="20">
                  <c:v>22966.416086904403</c:v>
                </c:pt>
                <c:pt idx="21">
                  <c:v>22943.541971045841</c:v>
                </c:pt>
                <c:pt idx="22">
                  <c:v>23321.166160765944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759-46B5-908F-CC51FB0D9C94}"/>
            </c:ext>
          </c:extLst>
        </c:ser>
        <c:ser>
          <c:idx val="78"/>
          <c:order val="78"/>
          <c:tx>
            <c:strRef>
              <c:f>'NIFTY-Scientific, OPTION PRICIN'!$CJ$1</c:f>
              <c:strCache>
                <c:ptCount val="1"/>
                <c:pt idx="0">
                  <c:v>Path 79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PRICIN'!$CJ$2:$CJ$24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24221.43469556556</c:v>
                </c:pt>
                <c:pt idx="2">
                  <c:v>24051.956770032266</c:v>
                </c:pt>
                <c:pt idx="3">
                  <c:v>23739.771371288381</c:v>
                </c:pt>
                <c:pt idx="4">
                  <c:v>24246.38305402574</c:v>
                </c:pt>
                <c:pt idx="5">
                  <c:v>24316.826692494447</c:v>
                </c:pt>
                <c:pt idx="6">
                  <c:v>24259.68776934635</c:v>
                </c:pt>
                <c:pt idx="7">
                  <c:v>24060.878974508134</c:v>
                </c:pt>
                <c:pt idx="8">
                  <c:v>24142.348437037017</c:v>
                </c:pt>
                <c:pt idx="9">
                  <c:v>24178.292379064205</c:v>
                </c:pt>
                <c:pt idx="10">
                  <c:v>24353.342963581112</c:v>
                </c:pt>
                <c:pt idx="11">
                  <c:v>24358.669876501674</c:v>
                </c:pt>
                <c:pt idx="12">
                  <c:v>24443.119651110381</c:v>
                </c:pt>
                <c:pt idx="13">
                  <c:v>24650.014093854665</c:v>
                </c:pt>
                <c:pt idx="14">
                  <c:v>24583.081015654814</c:v>
                </c:pt>
                <c:pt idx="15">
                  <c:v>24432.019005976079</c:v>
                </c:pt>
                <c:pt idx="16">
                  <c:v>23964.308840965699</c:v>
                </c:pt>
                <c:pt idx="17">
                  <c:v>23806.377937235855</c:v>
                </c:pt>
                <c:pt idx="18">
                  <c:v>23810.308974479285</c:v>
                </c:pt>
                <c:pt idx="19">
                  <c:v>24234.636962102468</c:v>
                </c:pt>
                <c:pt idx="20">
                  <c:v>24326.36952291719</c:v>
                </c:pt>
                <c:pt idx="21">
                  <c:v>24074.043219866031</c:v>
                </c:pt>
                <c:pt idx="22">
                  <c:v>24182.784057494766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5759-46B5-908F-CC51FB0D9C94}"/>
            </c:ext>
          </c:extLst>
        </c:ser>
        <c:ser>
          <c:idx val="79"/>
          <c:order val="79"/>
          <c:tx>
            <c:strRef>
              <c:f>'NIFTY-Scientific, OPTION PRICIN'!$CK$1</c:f>
              <c:strCache>
                <c:ptCount val="1"/>
                <c:pt idx="0">
                  <c:v>Path 80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PRICIN'!$CK$2:$CK$24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24424.162972074329</c:v>
                </c:pt>
                <c:pt idx="2">
                  <c:v>23917.663160034088</c:v>
                </c:pt>
                <c:pt idx="3">
                  <c:v>23868.704037270552</c:v>
                </c:pt>
                <c:pt idx="4">
                  <c:v>23978.401950696454</c:v>
                </c:pt>
                <c:pt idx="5">
                  <c:v>23966.991297676163</c:v>
                </c:pt>
                <c:pt idx="6">
                  <c:v>23843.47986844604</c:v>
                </c:pt>
                <c:pt idx="7">
                  <c:v>23711.249302036886</c:v>
                </c:pt>
                <c:pt idx="8">
                  <c:v>23755.811337663257</c:v>
                </c:pt>
                <c:pt idx="9">
                  <c:v>23773.579865213946</c:v>
                </c:pt>
                <c:pt idx="10">
                  <c:v>23263.386678753963</c:v>
                </c:pt>
                <c:pt idx="11">
                  <c:v>23136.793238922921</c:v>
                </c:pt>
                <c:pt idx="12">
                  <c:v>23425.282463595839</c:v>
                </c:pt>
                <c:pt idx="13">
                  <c:v>23237.782047276545</c:v>
                </c:pt>
                <c:pt idx="14">
                  <c:v>23372.676928828478</c:v>
                </c:pt>
                <c:pt idx="15">
                  <c:v>23347.513437243422</c:v>
                </c:pt>
                <c:pt idx="16">
                  <c:v>22926.877896511076</c:v>
                </c:pt>
                <c:pt idx="17">
                  <c:v>23002.356146896735</c:v>
                </c:pt>
                <c:pt idx="18">
                  <c:v>22956.130407801735</c:v>
                </c:pt>
                <c:pt idx="19">
                  <c:v>23054.14845104441</c:v>
                </c:pt>
                <c:pt idx="20">
                  <c:v>22726.568939078308</c:v>
                </c:pt>
                <c:pt idx="21">
                  <c:v>22687.888518292439</c:v>
                </c:pt>
                <c:pt idx="22">
                  <c:v>22681.299652219968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759-46B5-908F-CC51FB0D9C94}"/>
            </c:ext>
          </c:extLst>
        </c:ser>
        <c:ser>
          <c:idx val="80"/>
          <c:order val="80"/>
          <c:tx>
            <c:strRef>
              <c:f>'NIFTY-Scientific, OPTION PRICIN'!$CL$1</c:f>
              <c:strCache>
                <c:ptCount val="1"/>
                <c:pt idx="0">
                  <c:v>Path 81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PRICIN'!$CL$2:$CL$24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23989.92432491577</c:v>
                </c:pt>
                <c:pt idx="2">
                  <c:v>24207.891403266261</c:v>
                </c:pt>
                <c:pt idx="3">
                  <c:v>24138.653234620855</c:v>
                </c:pt>
                <c:pt idx="4">
                  <c:v>23717.733699694065</c:v>
                </c:pt>
                <c:pt idx="5">
                  <c:v>23730.210473950468</c:v>
                </c:pt>
                <c:pt idx="6">
                  <c:v>23944.138601663959</c:v>
                </c:pt>
                <c:pt idx="7">
                  <c:v>24062.194539714892</c:v>
                </c:pt>
                <c:pt idx="8">
                  <c:v>24105.794947219732</c:v>
                </c:pt>
                <c:pt idx="9">
                  <c:v>24343.987206768634</c:v>
                </c:pt>
                <c:pt idx="10">
                  <c:v>24420.601141853826</c:v>
                </c:pt>
                <c:pt idx="11">
                  <c:v>24239.779189543326</c:v>
                </c:pt>
                <c:pt idx="12">
                  <c:v>24047.149110442668</c:v>
                </c:pt>
                <c:pt idx="13">
                  <c:v>24038.830914764003</c:v>
                </c:pt>
                <c:pt idx="14">
                  <c:v>24107.580687728157</c:v>
                </c:pt>
                <c:pt idx="15">
                  <c:v>24063.284680630426</c:v>
                </c:pt>
                <c:pt idx="16">
                  <c:v>23906.5931659905</c:v>
                </c:pt>
                <c:pt idx="17">
                  <c:v>23856.134902212667</c:v>
                </c:pt>
                <c:pt idx="18">
                  <c:v>23606.974933258309</c:v>
                </c:pt>
                <c:pt idx="19">
                  <c:v>23722.978991009306</c:v>
                </c:pt>
                <c:pt idx="20">
                  <c:v>23366.834637865824</c:v>
                </c:pt>
                <c:pt idx="21">
                  <c:v>23434.730129399533</c:v>
                </c:pt>
                <c:pt idx="22">
                  <c:v>23364.620780014873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5759-46B5-908F-CC51FB0D9C94}"/>
            </c:ext>
          </c:extLst>
        </c:ser>
        <c:ser>
          <c:idx val="81"/>
          <c:order val="81"/>
          <c:tx>
            <c:strRef>
              <c:f>'NIFTY-Scientific, OPTION PRICIN'!$CM$1</c:f>
              <c:strCache>
                <c:ptCount val="1"/>
                <c:pt idx="0">
                  <c:v>Path 82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PRICIN'!$CM$2:$CM$24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23848.81085765567</c:v>
                </c:pt>
                <c:pt idx="2">
                  <c:v>24057.05267149732</c:v>
                </c:pt>
                <c:pt idx="3">
                  <c:v>24281.708775418567</c:v>
                </c:pt>
                <c:pt idx="4">
                  <c:v>24207.548589053233</c:v>
                </c:pt>
                <c:pt idx="5">
                  <c:v>23953.61293280208</c:v>
                </c:pt>
                <c:pt idx="6">
                  <c:v>23714.975373440968</c:v>
                </c:pt>
                <c:pt idx="7">
                  <c:v>23811.920984196411</c:v>
                </c:pt>
                <c:pt idx="8">
                  <c:v>23731.037886784816</c:v>
                </c:pt>
                <c:pt idx="9">
                  <c:v>23625.541047294944</c:v>
                </c:pt>
                <c:pt idx="10">
                  <c:v>24051.96909480113</c:v>
                </c:pt>
                <c:pt idx="11">
                  <c:v>23778.504746991657</c:v>
                </c:pt>
                <c:pt idx="12">
                  <c:v>23641.623432119603</c:v>
                </c:pt>
                <c:pt idx="13">
                  <c:v>23463.610020831544</c:v>
                </c:pt>
                <c:pt idx="14">
                  <c:v>23471.468311952372</c:v>
                </c:pt>
                <c:pt idx="15">
                  <c:v>23625.51677493508</c:v>
                </c:pt>
                <c:pt idx="16">
                  <c:v>23706.571001813285</c:v>
                </c:pt>
                <c:pt idx="17">
                  <c:v>23628.140943684011</c:v>
                </c:pt>
                <c:pt idx="18">
                  <c:v>23588.85630305867</c:v>
                </c:pt>
                <c:pt idx="19">
                  <c:v>23665.076648979346</c:v>
                </c:pt>
                <c:pt idx="20">
                  <c:v>23522.339680254168</c:v>
                </c:pt>
                <c:pt idx="21">
                  <c:v>23547.56854441838</c:v>
                </c:pt>
                <c:pt idx="22">
                  <c:v>23454.946264702936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759-46B5-908F-CC51FB0D9C94}"/>
            </c:ext>
          </c:extLst>
        </c:ser>
        <c:ser>
          <c:idx val="82"/>
          <c:order val="82"/>
          <c:tx>
            <c:strRef>
              <c:f>'NIFTY-Scientific, OPTION PRICIN'!$CN$1</c:f>
              <c:strCache>
                <c:ptCount val="1"/>
                <c:pt idx="0">
                  <c:v>Path 83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PRICIN'!$CN$2:$CN$24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24368.761138863978</c:v>
                </c:pt>
                <c:pt idx="2">
                  <c:v>24391.691774484971</c:v>
                </c:pt>
                <c:pt idx="3">
                  <c:v>24263.335794002203</c:v>
                </c:pt>
                <c:pt idx="4">
                  <c:v>24215.455492113248</c:v>
                </c:pt>
                <c:pt idx="5">
                  <c:v>24396.764866649282</c:v>
                </c:pt>
                <c:pt idx="6">
                  <c:v>24473.404687417984</c:v>
                </c:pt>
                <c:pt idx="7">
                  <c:v>24706.028144546446</c:v>
                </c:pt>
                <c:pt idx="8">
                  <c:v>24786.617115487436</c:v>
                </c:pt>
                <c:pt idx="9">
                  <c:v>24898.444049369955</c:v>
                </c:pt>
                <c:pt idx="10">
                  <c:v>24980.648532227027</c:v>
                </c:pt>
                <c:pt idx="11">
                  <c:v>25372.781920944322</c:v>
                </c:pt>
                <c:pt idx="12">
                  <c:v>25645.476692121447</c:v>
                </c:pt>
                <c:pt idx="13">
                  <c:v>25406.29317537036</c:v>
                </c:pt>
                <c:pt idx="14">
                  <c:v>25561.147447427946</c:v>
                </c:pt>
                <c:pt idx="15">
                  <c:v>25771.271037685332</c:v>
                </c:pt>
                <c:pt idx="16">
                  <c:v>25904.60256399076</c:v>
                </c:pt>
                <c:pt idx="17">
                  <c:v>25838.095129538015</c:v>
                </c:pt>
                <c:pt idx="18">
                  <c:v>25656.93738095713</c:v>
                </c:pt>
                <c:pt idx="19">
                  <c:v>25349.30539174052</c:v>
                </c:pt>
                <c:pt idx="20">
                  <c:v>25255.63936962538</c:v>
                </c:pt>
                <c:pt idx="21">
                  <c:v>25273.773329272091</c:v>
                </c:pt>
                <c:pt idx="22">
                  <c:v>25095.684834980417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5759-46B5-908F-CC51FB0D9C94}"/>
            </c:ext>
          </c:extLst>
        </c:ser>
        <c:ser>
          <c:idx val="83"/>
          <c:order val="83"/>
          <c:tx>
            <c:strRef>
              <c:f>'NIFTY-Scientific, OPTION PRICIN'!$CO$1</c:f>
              <c:strCache>
                <c:ptCount val="1"/>
                <c:pt idx="0">
                  <c:v>Path 84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PRICIN'!$CO$2:$CO$24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24235.685530563958</c:v>
                </c:pt>
                <c:pt idx="2">
                  <c:v>24309.811707303536</c:v>
                </c:pt>
                <c:pt idx="3">
                  <c:v>24333.727584523036</c:v>
                </c:pt>
                <c:pt idx="4">
                  <c:v>24471.90508605415</c:v>
                </c:pt>
                <c:pt idx="5">
                  <c:v>24235.514337216522</c:v>
                </c:pt>
                <c:pt idx="6">
                  <c:v>24370.358677802</c:v>
                </c:pt>
                <c:pt idx="7">
                  <c:v>24277.29534141994</c:v>
                </c:pt>
                <c:pt idx="8">
                  <c:v>24174.177613357264</c:v>
                </c:pt>
                <c:pt idx="9">
                  <c:v>24600.067674426296</c:v>
                </c:pt>
                <c:pt idx="10">
                  <c:v>24646.660575366597</c:v>
                </c:pt>
                <c:pt idx="11">
                  <c:v>24746.440326346925</c:v>
                </c:pt>
                <c:pt idx="12">
                  <c:v>24815.950966340457</c:v>
                </c:pt>
                <c:pt idx="13">
                  <c:v>24911.095879752775</c:v>
                </c:pt>
                <c:pt idx="14">
                  <c:v>24765.597053235429</c:v>
                </c:pt>
                <c:pt idx="15">
                  <c:v>24565.211187960456</c:v>
                </c:pt>
                <c:pt idx="16">
                  <c:v>24545.850768541713</c:v>
                </c:pt>
                <c:pt idx="17">
                  <c:v>24758.462121196822</c:v>
                </c:pt>
                <c:pt idx="18">
                  <c:v>24648.324057444843</c:v>
                </c:pt>
                <c:pt idx="19">
                  <c:v>24710.526247437076</c:v>
                </c:pt>
                <c:pt idx="20">
                  <c:v>24928.361431580775</c:v>
                </c:pt>
                <c:pt idx="21">
                  <c:v>24827.236327471743</c:v>
                </c:pt>
                <c:pt idx="22">
                  <c:v>25194.602772063514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759-46B5-908F-CC51FB0D9C94}"/>
            </c:ext>
          </c:extLst>
        </c:ser>
        <c:ser>
          <c:idx val="84"/>
          <c:order val="84"/>
          <c:tx>
            <c:strRef>
              <c:f>'NIFTY-Scientific, OPTION PRICIN'!$CP$1</c:f>
              <c:strCache>
                <c:ptCount val="1"/>
                <c:pt idx="0">
                  <c:v>Path 85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PRICIN'!$CP$2:$CP$24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24353.525439962599</c:v>
                </c:pt>
                <c:pt idx="2">
                  <c:v>24346.614304204944</c:v>
                </c:pt>
                <c:pt idx="3">
                  <c:v>24198.228269123458</c:v>
                </c:pt>
                <c:pt idx="4">
                  <c:v>24032.135350940251</c:v>
                </c:pt>
                <c:pt idx="5">
                  <c:v>23695.421339287033</c:v>
                </c:pt>
                <c:pt idx="6">
                  <c:v>23676.716315986305</c:v>
                </c:pt>
                <c:pt idx="7">
                  <c:v>23726.206254846773</c:v>
                </c:pt>
                <c:pt idx="8">
                  <c:v>24021.606293707217</c:v>
                </c:pt>
                <c:pt idx="9">
                  <c:v>24163.410759790273</c:v>
                </c:pt>
                <c:pt idx="10">
                  <c:v>24326.130581350259</c:v>
                </c:pt>
                <c:pt idx="11">
                  <c:v>24357.845828170488</c:v>
                </c:pt>
                <c:pt idx="12">
                  <c:v>24078.96147222766</c:v>
                </c:pt>
                <c:pt idx="13">
                  <c:v>24060.864933284716</c:v>
                </c:pt>
                <c:pt idx="14">
                  <c:v>24219.713019668186</c:v>
                </c:pt>
                <c:pt idx="15">
                  <c:v>24110.567534302918</c:v>
                </c:pt>
                <c:pt idx="16">
                  <c:v>24076.420500900698</c:v>
                </c:pt>
                <c:pt idx="17">
                  <c:v>24255.808392702933</c:v>
                </c:pt>
                <c:pt idx="18">
                  <c:v>24410.32290046351</c:v>
                </c:pt>
                <c:pt idx="19">
                  <c:v>24096.739029670487</c:v>
                </c:pt>
                <c:pt idx="20">
                  <c:v>23885.412001581</c:v>
                </c:pt>
                <c:pt idx="21">
                  <c:v>23874.718602035486</c:v>
                </c:pt>
                <c:pt idx="22">
                  <c:v>23796.718167460134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5759-46B5-908F-CC51FB0D9C94}"/>
            </c:ext>
          </c:extLst>
        </c:ser>
        <c:ser>
          <c:idx val="85"/>
          <c:order val="85"/>
          <c:tx>
            <c:strRef>
              <c:f>'NIFTY-Scientific, OPTION PRICIN'!$CQ$1</c:f>
              <c:strCache>
                <c:ptCount val="1"/>
                <c:pt idx="0">
                  <c:v>Path 86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PRICIN'!$CQ$2:$CQ$24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23873.026196494742</c:v>
                </c:pt>
                <c:pt idx="2">
                  <c:v>24150.010632399542</c:v>
                </c:pt>
                <c:pt idx="3">
                  <c:v>24144.605657491105</c:v>
                </c:pt>
                <c:pt idx="4">
                  <c:v>24039.607201047274</c:v>
                </c:pt>
                <c:pt idx="5">
                  <c:v>23804.391530787932</c:v>
                </c:pt>
                <c:pt idx="6">
                  <c:v>24012.766414409645</c:v>
                </c:pt>
                <c:pt idx="7">
                  <c:v>24036.556151157754</c:v>
                </c:pt>
                <c:pt idx="8">
                  <c:v>24012.920567676665</c:v>
                </c:pt>
                <c:pt idx="9">
                  <c:v>24074.133103265922</c:v>
                </c:pt>
                <c:pt idx="10">
                  <c:v>24271.441392075798</c:v>
                </c:pt>
                <c:pt idx="11">
                  <c:v>24228.342708446267</c:v>
                </c:pt>
                <c:pt idx="12">
                  <c:v>23940.278088659095</c:v>
                </c:pt>
                <c:pt idx="13">
                  <c:v>23942.088866352926</c:v>
                </c:pt>
                <c:pt idx="14">
                  <c:v>23907.674815751627</c:v>
                </c:pt>
                <c:pt idx="15">
                  <c:v>24139.146646357709</c:v>
                </c:pt>
                <c:pt idx="16">
                  <c:v>24232.983915515684</c:v>
                </c:pt>
                <c:pt idx="17">
                  <c:v>24223.834840458559</c:v>
                </c:pt>
                <c:pt idx="18">
                  <c:v>24478.363500679072</c:v>
                </c:pt>
                <c:pt idx="19">
                  <c:v>24523.545126780733</c:v>
                </c:pt>
                <c:pt idx="20">
                  <c:v>24667.363485644368</c:v>
                </c:pt>
                <c:pt idx="21">
                  <c:v>24511.963427139279</c:v>
                </c:pt>
                <c:pt idx="22">
                  <c:v>24280.150002727332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759-46B5-908F-CC51FB0D9C94}"/>
            </c:ext>
          </c:extLst>
        </c:ser>
        <c:ser>
          <c:idx val="86"/>
          <c:order val="86"/>
          <c:tx>
            <c:strRef>
              <c:f>'NIFTY-Scientific, OPTION PRICIN'!$CR$1</c:f>
              <c:strCache>
                <c:ptCount val="1"/>
                <c:pt idx="0">
                  <c:v>Path 87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PRICIN'!$CR$2:$CR$24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24057.671829240568</c:v>
                </c:pt>
                <c:pt idx="2">
                  <c:v>23517.332311685532</c:v>
                </c:pt>
                <c:pt idx="3">
                  <c:v>23486.64247446377</c:v>
                </c:pt>
                <c:pt idx="4">
                  <c:v>23739.659066493517</c:v>
                </c:pt>
                <c:pt idx="5">
                  <c:v>23988.208300201459</c:v>
                </c:pt>
                <c:pt idx="6">
                  <c:v>23914.976092131925</c:v>
                </c:pt>
                <c:pt idx="7">
                  <c:v>24172.077417264107</c:v>
                </c:pt>
                <c:pt idx="8">
                  <c:v>24022.73707395712</c:v>
                </c:pt>
                <c:pt idx="9">
                  <c:v>23978.100120315503</c:v>
                </c:pt>
                <c:pt idx="10">
                  <c:v>23855.986434259728</c:v>
                </c:pt>
                <c:pt idx="11">
                  <c:v>23770.07786993379</c:v>
                </c:pt>
                <c:pt idx="12">
                  <c:v>23610.987443038808</c:v>
                </c:pt>
                <c:pt idx="13">
                  <c:v>23780.019126032843</c:v>
                </c:pt>
                <c:pt idx="14">
                  <c:v>23718.384731650622</c:v>
                </c:pt>
                <c:pt idx="15">
                  <c:v>23874.132133567589</c:v>
                </c:pt>
                <c:pt idx="16">
                  <c:v>23972.550625313776</c:v>
                </c:pt>
                <c:pt idx="17">
                  <c:v>24005.678684205915</c:v>
                </c:pt>
                <c:pt idx="18">
                  <c:v>23975.422910080004</c:v>
                </c:pt>
                <c:pt idx="19">
                  <c:v>24131.020965342192</c:v>
                </c:pt>
                <c:pt idx="20">
                  <c:v>24305.306152191661</c:v>
                </c:pt>
                <c:pt idx="21">
                  <c:v>24292.165390141639</c:v>
                </c:pt>
                <c:pt idx="22">
                  <c:v>24288.003730912089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5759-46B5-908F-CC51FB0D9C94}"/>
            </c:ext>
          </c:extLst>
        </c:ser>
        <c:ser>
          <c:idx val="87"/>
          <c:order val="87"/>
          <c:tx>
            <c:strRef>
              <c:f>'NIFTY-Scientific, OPTION PRICIN'!$CS$1</c:f>
              <c:strCache>
                <c:ptCount val="1"/>
                <c:pt idx="0">
                  <c:v>Path 88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PRICIN'!$CS$2:$CS$24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24097.683417112199</c:v>
                </c:pt>
                <c:pt idx="2">
                  <c:v>23727.293567533859</c:v>
                </c:pt>
                <c:pt idx="3">
                  <c:v>23495.625202003583</c:v>
                </c:pt>
                <c:pt idx="4">
                  <c:v>23366.246482942701</c:v>
                </c:pt>
                <c:pt idx="5">
                  <c:v>23534.88586873715</c:v>
                </c:pt>
                <c:pt idx="6">
                  <c:v>23440.826660592797</c:v>
                </c:pt>
                <c:pt idx="7">
                  <c:v>23665.962692669746</c:v>
                </c:pt>
                <c:pt idx="8">
                  <c:v>23322.422300293045</c:v>
                </c:pt>
                <c:pt idx="9">
                  <c:v>22982.535021532483</c:v>
                </c:pt>
                <c:pt idx="10">
                  <c:v>22975.835512203401</c:v>
                </c:pt>
                <c:pt idx="11">
                  <c:v>23043.586299536586</c:v>
                </c:pt>
                <c:pt idx="12">
                  <c:v>23285.206880760095</c:v>
                </c:pt>
                <c:pt idx="13">
                  <c:v>23130.080196932726</c:v>
                </c:pt>
                <c:pt idx="14">
                  <c:v>23121.068862705044</c:v>
                </c:pt>
                <c:pt idx="15">
                  <c:v>23197.535222974486</c:v>
                </c:pt>
                <c:pt idx="16">
                  <c:v>23448.24556840615</c:v>
                </c:pt>
                <c:pt idx="17">
                  <c:v>23309.590053772212</c:v>
                </c:pt>
                <c:pt idx="18">
                  <c:v>23199.654314507137</c:v>
                </c:pt>
                <c:pt idx="19">
                  <c:v>23765.2233825851</c:v>
                </c:pt>
                <c:pt idx="20">
                  <c:v>23726.672180573514</c:v>
                </c:pt>
                <c:pt idx="21">
                  <c:v>23659.352628150937</c:v>
                </c:pt>
                <c:pt idx="22">
                  <c:v>23585.95611698127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759-46B5-908F-CC51FB0D9C94}"/>
            </c:ext>
          </c:extLst>
        </c:ser>
        <c:ser>
          <c:idx val="88"/>
          <c:order val="88"/>
          <c:tx>
            <c:strRef>
              <c:f>'NIFTY-Scientific, OPTION PRICIN'!$CT$1</c:f>
              <c:strCache>
                <c:ptCount val="1"/>
                <c:pt idx="0">
                  <c:v>Path 89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PRICIN'!$CT$2:$CT$24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24015.083871493058</c:v>
                </c:pt>
                <c:pt idx="2">
                  <c:v>23990.211334826599</c:v>
                </c:pt>
                <c:pt idx="3">
                  <c:v>24222.271880042459</c:v>
                </c:pt>
                <c:pt idx="4">
                  <c:v>24496.668765586019</c:v>
                </c:pt>
                <c:pt idx="5">
                  <c:v>24312.140776375985</c:v>
                </c:pt>
                <c:pt idx="6">
                  <c:v>24314.987306236944</c:v>
                </c:pt>
                <c:pt idx="7">
                  <c:v>24421.620243474008</c:v>
                </c:pt>
                <c:pt idx="8">
                  <c:v>24563.450473553923</c:v>
                </c:pt>
                <c:pt idx="9">
                  <c:v>24690.649155792729</c:v>
                </c:pt>
                <c:pt idx="10">
                  <c:v>24489.665431392488</c:v>
                </c:pt>
                <c:pt idx="11">
                  <c:v>23997.975313851519</c:v>
                </c:pt>
                <c:pt idx="12">
                  <c:v>23969.660100369187</c:v>
                </c:pt>
                <c:pt idx="13">
                  <c:v>23947.0213330898</c:v>
                </c:pt>
                <c:pt idx="14">
                  <c:v>23861.179712550074</c:v>
                </c:pt>
                <c:pt idx="15">
                  <c:v>23872.095664572647</c:v>
                </c:pt>
                <c:pt idx="16">
                  <c:v>24152.519964905383</c:v>
                </c:pt>
                <c:pt idx="17">
                  <c:v>24374.762183836141</c:v>
                </c:pt>
                <c:pt idx="18">
                  <c:v>24344.332242363169</c:v>
                </c:pt>
                <c:pt idx="19">
                  <c:v>24582.115365695488</c:v>
                </c:pt>
                <c:pt idx="20">
                  <c:v>24640.680386956356</c:v>
                </c:pt>
                <c:pt idx="21">
                  <c:v>24540.069267813498</c:v>
                </c:pt>
                <c:pt idx="22">
                  <c:v>24168.724901302805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5759-46B5-908F-CC51FB0D9C94}"/>
            </c:ext>
          </c:extLst>
        </c:ser>
        <c:ser>
          <c:idx val="89"/>
          <c:order val="89"/>
          <c:tx>
            <c:strRef>
              <c:f>'NIFTY-Scientific, OPTION PRICIN'!$CU$1</c:f>
              <c:strCache>
                <c:ptCount val="1"/>
                <c:pt idx="0">
                  <c:v>Path 90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PRICIN'!$CU$2:$CU$24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23707.175064832798</c:v>
                </c:pt>
                <c:pt idx="2">
                  <c:v>24201.875590152285</c:v>
                </c:pt>
                <c:pt idx="3">
                  <c:v>24313.19024879035</c:v>
                </c:pt>
                <c:pt idx="4">
                  <c:v>24522.416778077168</c:v>
                </c:pt>
                <c:pt idx="5">
                  <c:v>24531.186378720566</c:v>
                </c:pt>
                <c:pt idx="6">
                  <c:v>24549.568284679492</c:v>
                </c:pt>
                <c:pt idx="7">
                  <c:v>24575.358752144868</c:v>
                </c:pt>
                <c:pt idx="8">
                  <c:v>24770.245372833968</c:v>
                </c:pt>
                <c:pt idx="9">
                  <c:v>24797.504045550093</c:v>
                </c:pt>
                <c:pt idx="10">
                  <c:v>24844.03497729238</c:v>
                </c:pt>
                <c:pt idx="11">
                  <c:v>24916.336331592309</c:v>
                </c:pt>
                <c:pt idx="12">
                  <c:v>24992.480278206425</c:v>
                </c:pt>
                <c:pt idx="13">
                  <c:v>24777.706934899532</c:v>
                </c:pt>
                <c:pt idx="14">
                  <c:v>24965.185593760762</c:v>
                </c:pt>
                <c:pt idx="15">
                  <c:v>24879.821518708759</c:v>
                </c:pt>
                <c:pt idx="16">
                  <c:v>25194.270001747478</c:v>
                </c:pt>
                <c:pt idx="17">
                  <c:v>25712.715454902485</c:v>
                </c:pt>
                <c:pt idx="18">
                  <c:v>25617.412054372358</c:v>
                </c:pt>
                <c:pt idx="19">
                  <c:v>25802.654615368101</c:v>
                </c:pt>
                <c:pt idx="20">
                  <c:v>25921.817814115238</c:v>
                </c:pt>
                <c:pt idx="21">
                  <c:v>25705.944621171111</c:v>
                </c:pt>
                <c:pt idx="22">
                  <c:v>25641.863764457339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759-46B5-908F-CC51FB0D9C94}"/>
            </c:ext>
          </c:extLst>
        </c:ser>
        <c:ser>
          <c:idx val="90"/>
          <c:order val="90"/>
          <c:tx>
            <c:strRef>
              <c:f>'NIFTY-Scientific, OPTION PRICIN'!$CV$1</c:f>
              <c:strCache>
                <c:ptCount val="1"/>
                <c:pt idx="0">
                  <c:v>Path 91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PRICIN'!$CV$2:$CV$24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24171.199707731794</c:v>
                </c:pt>
                <c:pt idx="2">
                  <c:v>24144.743232621338</c:v>
                </c:pt>
                <c:pt idx="3">
                  <c:v>24174.740724038715</c:v>
                </c:pt>
                <c:pt idx="4">
                  <c:v>23946.612646436541</c:v>
                </c:pt>
                <c:pt idx="5">
                  <c:v>23694.566377894731</c:v>
                </c:pt>
                <c:pt idx="6">
                  <c:v>23656.837953437444</c:v>
                </c:pt>
                <c:pt idx="7">
                  <c:v>23584.11283109316</c:v>
                </c:pt>
                <c:pt idx="8">
                  <c:v>23792.340230020378</c:v>
                </c:pt>
                <c:pt idx="9">
                  <c:v>23860.962840745378</c:v>
                </c:pt>
                <c:pt idx="10">
                  <c:v>23671.519471837273</c:v>
                </c:pt>
                <c:pt idx="11">
                  <c:v>23754.633779442316</c:v>
                </c:pt>
                <c:pt idx="12">
                  <c:v>23901.715655055712</c:v>
                </c:pt>
                <c:pt idx="13">
                  <c:v>23852.637461119612</c:v>
                </c:pt>
                <c:pt idx="14">
                  <c:v>24166.209066261927</c:v>
                </c:pt>
                <c:pt idx="15">
                  <c:v>24106.536338225898</c:v>
                </c:pt>
                <c:pt idx="16">
                  <c:v>24132.705832370288</c:v>
                </c:pt>
                <c:pt idx="17">
                  <c:v>24265.509447514847</c:v>
                </c:pt>
                <c:pt idx="18">
                  <c:v>24428.278190461904</c:v>
                </c:pt>
                <c:pt idx="19">
                  <c:v>24042.3120818309</c:v>
                </c:pt>
                <c:pt idx="20">
                  <c:v>23917.421192064703</c:v>
                </c:pt>
                <c:pt idx="21">
                  <c:v>23983.827683676296</c:v>
                </c:pt>
                <c:pt idx="22">
                  <c:v>23933.350285842789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5759-46B5-908F-CC51FB0D9C94}"/>
            </c:ext>
          </c:extLst>
        </c:ser>
        <c:ser>
          <c:idx val="91"/>
          <c:order val="91"/>
          <c:tx>
            <c:strRef>
              <c:f>'NIFTY-Scientific, OPTION PRICIN'!$CW$1</c:f>
              <c:strCache>
                <c:ptCount val="1"/>
                <c:pt idx="0">
                  <c:v>Path 92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PRICIN'!$CW$2:$CW$24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24094.731854235528</c:v>
                </c:pt>
                <c:pt idx="2">
                  <c:v>23957.687879942099</c:v>
                </c:pt>
                <c:pt idx="3">
                  <c:v>24043.09233957273</c:v>
                </c:pt>
                <c:pt idx="4">
                  <c:v>24150.255516734753</c:v>
                </c:pt>
                <c:pt idx="5">
                  <c:v>23816.72432830562</c:v>
                </c:pt>
                <c:pt idx="6">
                  <c:v>23765.288911083997</c:v>
                </c:pt>
                <c:pt idx="7">
                  <c:v>23803.662095329903</c:v>
                </c:pt>
                <c:pt idx="8">
                  <c:v>24009.412817510529</c:v>
                </c:pt>
                <c:pt idx="9">
                  <c:v>24323.153836564277</c:v>
                </c:pt>
                <c:pt idx="10">
                  <c:v>24488.304813173447</c:v>
                </c:pt>
                <c:pt idx="11">
                  <c:v>24158.618768575168</c:v>
                </c:pt>
                <c:pt idx="12">
                  <c:v>23821.02559111888</c:v>
                </c:pt>
                <c:pt idx="13">
                  <c:v>23641.540425726351</c:v>
                </c:pt>
                <c:pt idx="14">
                  <c:v>24090.988289198463</c:v>
                </c:pt>
                <c:pt idx="15">
                  <c:v>24051.239605722472</c:v>
                </c:pt>
                <c:pt idx="16">
                  <c:v>23975.099562541829</c:v>
                </c:pt>
                <c:pt idx="17">
                  <c:v>24161.43994153574</c:v>
                </c:pt>
                <c:pt idx="18">
                  <c:v>24078.933563756356</c:v>
                </c:pt>
                <c:pt idx="19">
                  <c:v>24149.471755004237</c:v>
                </c:pt>
                <c:pt idx="20">
                  <c:v>23896.860531408678</c:v>
                </c:pt>
                <c:pt idx="21">
                  <c:v>23573.504513789452</c:v>
                </c:pt>
                <c:pt idx="22">
                  <c:v>23788.189116907117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759-46B5-908F-CC51FB0D9C94}"/>
            </c:ext>
          </c:extLst>
        </c:ser>
        <c:ser>
          <c:idx val="92"/>
          <c:order val="92"/>
          <c:tx>
            <c:strRef>
              <c:f>'NIFTY-Scientific, OPTION PRICIN'!$CX$1</c:f>
              <c:strCache>
                <c:ptCount val="1"/>
                <c:pt idx="0">
                  <c:v>Path 93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PRICIN'!$CX$2:$CX$24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24152.686883912014</c:v>
                </c:pt>
                <c:pt idx="2">
                  <c:v>24453.537866444254</c:v>
                </c:pt>
                <c:pt idx="3">
                  <c:v>24424.577140457131</c:v>
                </c:pt>
                <c:pt idx="4">
                  <c:v>24481.893286418075</c:v>
                </c:pt>
                <c:pt idx="5">
                  <c:v>24365.572084925545</c:v>
                </c:pt>
                <c:pt idx="6">
                  <c:v>24499.683175170903</c:v>
                </c:pt>
                <c:pt idx="7">
                  <c:v>24418.425647724409</c:v>
                </c:pt>
                <c:pt idx="8">
                  <c:v>24352.211709107152</c:v>
                </c:pt>
                <c:pt idx="9">
                  <c:v>24903.886121669228</c:v>
                </c:pt>
                <c:pt idx="10">
                  <c:v>24972.804223739975</c:v>
                </c:pt>
                <c:pt idx="11">
                  <c:v>25153.805919604962</c:v>
                </c:pt>
                <c:pt idx="12">
                  <c:v>25340.972036313538</c:v>
                </c:pt>
                <c:pt idx="13">
                  <c:v>25459.845106216686</c:v>
                </c:pt>
                <c:pt idx="14">
                  <c:v>25715.840262573205</c:v>
                </c:pt>
                <c:pt idx="15">
                  <c:v>25888.446271347275</c:v>
                </c:pt>
                <c:pt idx="16">
                  <c:v>25875.762913020935</c:v>
                </c:pt>
                <c:pt idx="17">
                  <c:v>25861.219278506142</c:v>
                </c:pt>
                <c:pt idx="18">
                  <c:v>25766.37146857657</c:v>
                </c:pt>
                <c:pt idx="19">
                  <c:v>25781.285908160273</c:v>
                </c:pt>
                <c:pt idx="20">
                  <c:v>25923.264399122465</c:v>
                </c:pt>
                <c:pt idx="21">
                  <c:v>25893.606389880293</c:v>
                </c:pt>
                <c:pt idx="22">
                  <c:v>25881.742732224215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5759-46B5-908F-CC51FB0D9C94}"/>
            </c:ext>
          </c:extLst>
        </c:ser>
        <c:ser>
          <c:idx val="93"/>
          <c:order val="93"/>
          <c:tx>
            <c:strRef>
              <c:f>'NIFTY-Scientific, OPTION PRICIN'!$CY$1</c:f>
              <c:strCache>
                <c:ptCount val="1"/>
                <c:pt idx="0">
                  <c:v>Path 94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PRICIN'!$CY$2:$CY$24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24356.10667795307</c:v>
                </c:pt>
                <c:pt idx="2">
                  <c:v>24796.573810023419</c:v>
                </c:pt>
                <c:pt idx="3">
                  <c:v>24718.471068113089</c:v>
                </c:pt>
                <c:pt idx="4">
                  <c:v>24827.472904471786</c:v>
                </c:pt>
                <c:pt idx="5">
                  <c:v>24730.959457292141</c:v>
                </c:pt>
                <c:pt idx="6">
                  <c:v>24583.007752888232</c:v>
                </c:pt>
                <c:pt idx="7">
                  <c:v>24464.017947738819</c:v>
                </c:pt>
                <c:pt idx="8">
                  <c:v>24346.436857144054</c:v>
                </c:pt>
                <c:pt idx="9">
                  <c:v>24536.060997939134</c:v>
                </c:pt>
                <c:pt idx="10">
                  <c:v>24400.80120140166</c:v>
                </c:pt>
                <c:pt idx="11">
                  <c:v>24657.8442048586</c:v>
                </c:pt>
                <c:pt idx="12">
                  <c:v>24869.519268782777</c:v>
                </c:pt>
                <c:pt idx="13">
                  <c:v>24792.382508773608</c:v>
                </c:pt>
                <c:pt idx="14">
                  <c:v>25060.736740056946</c:v>
                </c:pt>
                <c:pt idx="15">
                  <c:v>25059.09510516463</c:v>
                </c:pt>
                <c:pt idx="16">
                  <c:v>24863.396670712307</c:v>
                </c:pt>
                <c:pt idx="17">
                  <c:v>24655.338851185039</c:v>
                </c:pt>
                <c:pt idx="18">
                  <c:v>24348.655625225918</c:v>
                </c:pt>
                <c:pt idx="19">
                  <c:v>24506.823705411109</c:v>
                </c:pt>
                <c:pt idx="20">
                  <c:v>24387.66448410269</c:v>
                </c:pt>
                <c:pt idx="21">
                  <c:v>24759.498123347636</c:v>
                </c:pt>
                <c:pt idx="22">
                  <c:v>24465.990556281948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759-46B5-908F-CC51FB0D9C94}"/>
            </c:ext>
          </c:extLst>
        </c:ser>
        <c:ser>
          <c:idx val="94"/>
          <c:order val="94"/>
          <c:tx>
            <c:strRef>
              <c:f>'NIFTY-Scientific, OPTION PRICIN'!$CZ$1</c:f>
              <c:strCache>
                <c:ptCount val="1"/>
                <c:pt idx="0">
                  <c:v>Path 95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PRICIN'!$CZ$2:$CZ$24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24110.875010324053</c:v>
                </c:pt>
                <c:pt idx="2">
                  <c:v>23986.693295282141</c:v>
                </c:pt>
                <c:pt idx="3">
                  <c:v>23912.20892327738</c:v>
                </c:pt>
                <c:pt idx="4">
                  <c:v>23766.405453450501</c:v>
                </c:pt>
                <c:pt idx="5">
                  <c:v>24143.690412013431</c:v>
                </c:pt>
                <c:pt idx="6">
                  <c:v>24161.549512469257</c:v>
                </c:pt>
                <c:pt idx="7">
                  <c:v>23900.866197022206</c:v>
                </c:pt>
                <c:pt idx="8">
                  <c:v>23513.832794571917</c:v>
                </c:pt>
                <c:pt idx="9">
                  <c:v>23232.882760098946</c:v>
                </c:pt>
                <c:pt idx="10">
                  <c:v>22987.018780687664</c:v>
                </c:pt>
                <c:pt idx="11">
                  <c:v>22651.613755076534</c:v>
                </c:pt>
                <c:pt idx="12">
                  <c:v>22612.790908616967</c:v>
                </c:pt>
                <c:pt idx="13">
                  <c:v>22586.15555864813</c:v>
                </c:pt>
                <c:pt idx="14">
                  <c:v>22280.284158511189</c:v>
                </c:pt>
                <c:pt idx="15">
                  <c:v>22393.941996273687</c:v>
                </c:pt>
                <c:pt idx="16">
                  <c:v>22556.569116579922</c:v>
                </c:pt>
                <c:pt idx="17">
                  <c:v>22558.246326161388</c:v>
                </c:pt>
                <c:pt idx="18">
                  <c:v>22393.032459793554</c:v>
                </c:pt>
                <c:pt idx="19">
                  <c:v>22075.889113386536</c:v>
                </c:pt>
                <c:pt idx="20">
                  <c:v>22544.343098239679</c:v>
                </c:pt>
                <c:pt idx="21">
                  <c:v>22701.792079507755</c:v>
                </c:pt>
                <c:pt idx="22">
                  <c:v>22814.672374555681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5759-46B5-908F-CC51FB0D9C94}"/>
            </c:ext>
          </c:extLst>
        </c:ser>
        <c:ser>
          <c:idx val="95"/>
          <c:order val="95"/>
          <c:tx>
            <c:strRef>
              <c:f>'NIFTY-Scientific, OPTION PRICIN'!$DA$1</c:f>
              <c:strCache>
                <c:ptCount val="1"/>
                <c:pt idx="0">
                  <c:v>Path 96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PRICIN'!$DA$2:$DA$24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24386.582400222716</c:v>
                </c:pt>
                <c:pt idx="2">
                  <c:v>24456.299027232773</c:v>
                </c:pt>
                <c:pt idx="3">
                  <c:v>24424.754407831973</c:v>
                </c:pt>
                <c:pt idx="4">
                  <c:v>24248.898631025553</c:v>
                </c:pt>
                <c:pt idx="5">
                  <c:v>24282.357998162828</c:v>
                </c:pt>
                <c:pt idx="6">
                  <c:v>24079.339616018897</c:v>
                </c:pt>
                <c:pt idx="7">
                  <c:v>24127.990435664244</c:v>
                </c:pt>
                <c:pt idx="8">
                  <c:v>24025.680348618498</c:v>
                </c:pt>
                <c:pt idx="9">
                  <c:v>24155.057034770485</c:v>
                </c:pt>
                <c:pt idx="10">
                  <c:v>24502.170211778859</c:v>
                </c:pt>
                <c:pt idx="11">
                  <c:v>24244.137513601789</c:v>
                </c:pt>
                <c:pt idx="12">
                  <c:v>24279.28297894376</c:v>
                </c:pt>
                <c:pt idx="13">
                  <c:v>24297.411257531563</c:v>
                </c:pt>
                <c:pt idx="14">
                  <c:v>24215.206118729137</c:v>
                </c:pt>
                <c:pt idx="15">
                  <c:v>24113.827449486187</c:v>
                </c:pt>
                <c:pt idx="16">
                  <c:v>23880.700438102242</c:v>
                </c:pt>
                <c:pt idx="17">
                  <c:v>24023.100232209901</c:v>
                </c:pt>
                <c:pt idx="18">
                  <c:v>23448.574895444639</c:v>
                </c:pt>
                <c:pt idx="19">
                  <c:v>23531.944188254696</c:v>
                </c:pt>
                <c:pt idx="20">
                  <c:v>23239.409368323028</c:v>
                </c:pt>
                <c:pt idx="21">
                  <c:v>23194.906560884014</c:v>
                </c:pt>
                <c:pt idx="22">
                  <c:v>23082.938371367793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759-46B5-908F-CC51FB0D9C94}"/>
            </c:ext>
          </c:extLst>
        </c:ser>
        <c:ser>
          <c:idx val="96"/>
          <c:order val="96"/>
          <c:tx>
            <c:strRef>
              <c:f>'NIFTY-Scientific, OPTION PRICIN'!$DB$1</c:f>
              <c:strCache>
                <c:ptCount val="1"/>
                <c:pt idx="0">
                  <c:v>Path 97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PRICIN'!$DB$2:$DB$24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24559.577014862902</c:v>
                </c:pt>
                <c:pt idx="2">
                  <c:v>24756.321029349929</c:v>
                </c:pt>
                <c:pt idx="3">
                  <c:v>24564.944587409787</c:v>
                </c:pt>
                <c:pt idx="4">
                  <c:v>24359.515017158072</c:v>
                </c:pt>
                <c:pt idx="5">
                  <c:v>24086.417020745826</c:v>
                </c:pt>
                <c:pt idx="6">
                  <c:v>23340.58155088107</c:v>
                </c:pt>
                <c:pt idx="7">
                  <c:v>23102.106842058743</c:v>
                </c:pt>
                <c:pt idx="8">
                  <c:v>23271.279769964585</c:v>
                </c:pt>
                <c:pt idx="9">
                  <c:v>23055.789029404092</c:v>
                </c:pt>
                <c:pt idx="10">
                  <c:v>22935.498834501508</c:v>
                </c:pt>
                <c:pt idx="11">
                  <c:v>23110.004216731348</c:v>
                </c:pt>
                <c:pt idx="12">
                  <c:v>23392.035666823394</c:v>
                </c:pt>
                <c:pt idx="13">
                  <c:v>23483.024240811887</c:v>
                </c:pt>
                <c:pt idx="14">
                  <c:v>23148.898877183896</c:v>
                </c:pt>
                <c:pt idx="15">
                  <c:v>23130.463059088604</c:v>
                </c:pt>
                <c:pt idx="16">
                  <c:v>23158.329997670513</c:v>
                </c:pt>
                <c:pt idx="17">
                  <c:v>22947.996827768409</c:v>
                </c:pt>
                <c:pt idx="18">
                  <c:v>23235.373025403816</c:v>
                </c:pt>
                <c:pt idx="19">
                  <c:v>23432.545246012909</c:v>
                </c:pt>
                <c:pt idx="20">
                  <c:v>23592.775981786959</c:v>
                </c:pt>
                <c:pt idx="21">
                  <c:v>23453.86471291168</c:v>
                </c:pt>
                <c:pt idx="22">
                  <c:v>23475.049402084827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5759-46B5-908F-CC51FB0D9C94}"/>
            </c:ext>
          </c:extLst>
        </c:ser>
        <c:ser>
          <c:idx val="97"/>
          <c:order val="97"/>
          <c:tx>
            <c:strRef>
              <c:f>'NIFTY-Scientific, OPTION PRICIN'!$DC$1</c:f>
              <c:strCache>
                <c:ptCount val="1"/>
                <c:pt idx="0">
                  <c:v>Path 98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PRICIN'!$DC$2:$DC$24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24348.357320122206</c:v>
                </c:pt>
                <c:pt idx="2">
                  <c:v>24529.055447389677</c:v>
                </c:pt>
                <c:pt idx="3">
                  <c:v>24652.328656401882</c:v>
                </c:pt>
                <c:pt idx="4">
                  <c:v>24585.830516026304</c:v>
                </c:pt>
                <c:pt idx="5">
                  <c:v>24725.922516654453</c:v>
                </c:pt>
                <c:pt idx="6">
                  <c:v>24729.939008717534</c:v>
                </c:pt>
                <c:pt idx="7">
                  <c:v>24654.486557749933</c:v>
                </c:pt>
                <c:pt idx="8">
                  <c:v>24538.02029182862</c:v>
                </c:pt>
                <c:pt idx="9">
                  <c:v>24206.254997048083</c:v>
                </c:pt>
                <c:pt idx="10">
                  <c:v>23870.566375792172</c:v>
                </c:pt>
                <c:pt idx="11">
                  <c:v>23769.142002794466</c:v>
                </c:pt>
                <c:pt idx="12">
                  <c:v>24215.469366382284</c:v>
                </c:pt>
                <c:pt idx="13">
                  <c:v>24503.034839972945</c:v>
                </c:pt>
                <c:pt idx="14">
                  <c:v>24272.518011370183</c:v>
                </c:pt>
                <c:pt idx="15">
                  <c:v>24601.666191519587</c:v>
                </c:pt>
                <c:pt idx="16">
                  <c:v>24468.14319568023</c:v>
                </c:pt>
                <c:pt idx="17">
                  <c:v>24126.537890784875</c:v>
                </c:pt>
                <c:pt idx="18">
                  <c:v>24056.259653472731</c:v>
                </c:pt>
                <c:pt idx="19">
                  <c:v>23900.674187048498</c:v>
                </c:pt>
                <c:pt idx="20">
                  <c:v>23833.833463415442</c:v>
                </c:pt>
                <c:pt idx="21">
                  <c:v>23948.691408590443</c:v>
                </c:pt>
                <c:pt idx="22">
                  <c:v>23731.227651551468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759-46B5-908F-CC51FB0D9C94}"/>
            </c:ext>
          </c:extLst>
        </c:ser>
        <c:ser>
          <c:idx val="98"/>
          <c:order val="98"/>
          <c:tx>
            <c:strRef>
              <c:f>'NIFTY-Scientific, OPTION PRICIN'!$DD$1</c:f>
              <c:strCache>
                <c:ptCount val="1"/>
                <c:pt idx="0">
                  <c:v>Path 99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PRICIN'!$DD$2:$DD$24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24218.959510180823</c:v>
                </c:pt>
                <c:pt idx="2">
                  <c:v>24421.057342426851</c:v>
                </c:pt>
                <c:pt idx="3">
                  <c:v>24297.730237006246</c:v>
                </c:pt>
                <c:pt idx="4">
                  <c:v>24447.030811044435</c:v>
                </c:pt>
                <c:pt idx="5">
                  <c:v>24134.017876289254</c:v>
                </c:pt>
                <c:pt idx="6">
                  <c:v>24291.528747337226</c:v>
                </c:pt>
                <c:pt idx="7">
                  <c:v>24223.812645889146</c:v>
                </c:pt>
                <c:pt idx="8">
                  <c:v>23993.295118065002</c:v>
                </c:pt>
                <c:pt idx="9">
                  <c:v>24211.114963199911</c:v>
                </c:pt>
                <c:pt idx="10">
                  <c:v>24402.40715028191</c:v>
                </c:pt>
                <c:pt idx="11">
                  <c:v>24533.944843111065</c:v>
                </c:pt>
                <c:pt idx="12">
                  <c:v>24353.56282709046</c:v>
                </c:pt>
                <c:pt idx="13">
                  <c:v>24268.650626367598</c:v>
                </c:pt>
                <c:pt idx="14">
                  <c:v>24010.765017716589</c:v>
                </c:pt>
                <c:pt idx="15">
                  <c:v>23988.595346336529</c:v>
                </c:pt>
                <c:pt idx="16">
                  <c:v>23825.835689006624</c:v>
                </c:pt>
                <c:pt idx="17">
                  <c:v>23831.031210050183</c:v>
                </c:pt>
                <c:pt idx="18">
                  <c:v>23715.851207181786</c:v>
                </c:pt>
                <c:pt idx="19">
                  <c:v>23561.584879902173</c:v>
                </c:pt>
                <c:pt idx="20">
                  <c:v>23644.765680842567</c:v>
                </c:pt>
                <c:pt idx="21">
                  <c:v>23582.570923648436</c:v>
                </c:pt>
                <c:pt idx="22">
                  <c:v>23517.934342187586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5759-46B5-908F-CC51FB0D9C94}"/>
            </c:ext>
          </c:extLst>
        </c:ser>
        <c:ser>
          <c:idx val="99"/>
          <c:order val="99"/>
          <c:tx>
            <c:strRef>
              <c:f>'NIFTY-Scientific, OPTION PRICIN'!$DE$1</c:f>
              <c:strCache>
                <c:ptCount val="1"/>
                <c:pt idx="0">
                  <c:v>Path 100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'NIFTY-Scientific, OPTION PRICIN'!$DE$2:$DE$24</c:f>
              <c:numCache>
                <c:formatCode>_(* #,##0.00_);_(* \(#,##0.00\);_(* "-"??_);_(@_)</c:formatCode>
                <c:ptCount val="23"/>
                <c:pt idx="0">
                  <c:v>24154.9</c:v>
                </c:pt>
                <c:pt idx="1">
                  <c:v>24458.190090451099</c:v>
                </c:pt>
                <c:pt idx="2">
                  <c:v>24792.930885454913</c:v>
                </c:pt>
                <c:pt idx="3">
                  <c:v>24801.243020614351</c:v>
                </c:pt>
                <c:pt idx="4">
                  <c:v>25501.497391679914</c:v>
                </c:pt>
                <c:pt idx="5">
                  <c:v>25512.677539277167</c:v>
                </c:pt>
                <c:pt idx="6">
                  <c:v>25583.996881394185</c:v>
                </c:pt>
                <c:pt idx="7">
                  <c:v>25310.778109462532</c:v>
                </c:pt>
                <c:pt idx="8">
                  <c:v>25352.888024126831</c:v>
                </c:pt>
                <c:pt idx="9">
                  <c:v>24994.756472293011</c:v>
                </c:pt>
                <c:pt idx="10">
                  <c:v>24905.0591057973</c:v>
                </c:pt>
                <c:pt idx="11">
                  <c:v>24755.048360182082</c:v>
                </c:pt>
                <c:pt idx="12">
                  <c:v>24752.231283579527</c:v>
                </c:pt>
                <c:pt idx="13">
                  <c:v>25245.657736622332</c:v>
                </c:pt>
                <c:pt idx="14">
                  <c:v>25479.520538377568</c:v>
                </c:pt>
                <c:pt idx="15">
                  <c:v>25587.214760194965</c:v>
                </c:pt>
                <c:pt idx="16">
                  <c:v>25339.613348056075</c:v>
                </c:pt>
                <c:pt idx="17">
                  <c:v>25946.687916528139</c:v>
                </c:pt>
                <c:pt idx="18">
                  <c:v>26078.89018382617</c:v>
                </c:pt>
                <c:pt idx="19">
                  <c:v>25847.679280813823</c:v>
                </c:pt>
                <c:pt idx="20">
                  <c:v>25857.274396726811</c:v>
                </c:pt>
                <c:pt idx="21">
                  <c:v>26072.934362208103</c:v>
                </c:pt>
                <c:pt idx="22">
                  <c:v>25806.898716632633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759-46B5-908F-CC51FB0D9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882255"/>
        <c:axId val="1579716495"/>
      </c:lineChart>
      <c:catAx>
        <c:axId val="1836882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16495"/>
        <c:crosses val="autoZero"/>
        <c:auto val="1"/>
        <c:lblAlgn val="ctr"/>
        <c:lblOffset val="100"/>
        <c:noMultiLvlLbl val="0"/>
      </c:catAx>
      <c:valAx>
        <c:axId val="1579716495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8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</xdr:row>
      <xdr:rowOff>7620</xdr:rowOff>
    </xdr:from>
    <xdr:to>
      <xdr:col>16</xdr:col>
      <xdr:colOff>544830</xdr:colOff>
      <xdr:row>24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EDCB1F-0CC2-49B2-8166-5CD5B20AC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38100</xdr:colOff>
      <xdr:row>1</xdr:row>
      <xdr:rowOff>15240</xdr:rowOff>
    </xdr:from>
    <xdr:to>
      <xdr:col>24</xdr:col>
      <xdr:colOff>236220</xdr:colOff>
      <xdr:row>16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56DEDE-4602-44EF-832D-39108E8A0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175260</xdr:colOff>
      <xdr:row>1242</xdr:row>
      <xdr:rowOff>129540</xdr:rowOff>
    </xdr:from>
    <xdr:to>
      <xdr:col>23</xdr:col>
      <xdr:colOff>243840</xdr:colOff>
      <xdr:row>1261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8A893F-738F-97B9-E9C8-C34B367F2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1560503</xdr:colOff>
      <xdr:row>42</xdr:row>
      <xdr:rowOff>111586</xdr:rowOff>
    </xdr:from>
    <xdr:to>
      <xdr:col>22</xdr:col>
      <xdr:colOff>333300</xdr:colOff>
      <xdr:row>73</xdr:row>
      <xdr:rowOff>92236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380FFF-D42F-C9BB-59EA-1B7347696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10</xdr:row>
      <xdr:rowOff>121920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A89F1A60-E28B-E6AB-AD9A-B1A37A46432E}"/>
            </a:ext>
          </a:extLst>
        </xdr:cNvPr>
        <xdr:cNvSpPr>
          <a:spLocks noChangeAspect="1" noChangeArrowheads="1"/>
        </xdr:cNvSpPr>
      </xdr:nvSpPr>
      <xdr:spPr bwMode="auto">
        <a:xfrm>
          <a:off x="3573780" y="15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eshav Goel" id="{D0F0D42E-8297-43ED-89EB-AAF2FCC04889}" userId="39c6b9b7d2e6ac6b" providerId="Windows Liv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46" dT="2026-08-19T10:38:52.08" personId="{D0F0D42E-8297-43ED-89EB-AAF2FCC04889}" id="{BFC550D1-548B-49B0-839F-6FA23CA50598}">
    <text>Price(today) = P(yesterday)*e^(r)</text>
  </threadedComment>
  <threadedComment ref="J1246" dT="2026-08-19T10:38:52.08" personId="{D0F0D42E-8297-43ED-89EB-AAF2FCC04889}" id="{9EA0DADB-98EC-4456-99B9-5337044E67F3}">
    <text>Price(today) = P(yesterday)*e^(r)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67"/>
  <sheetViews>
    <sheetView topLeftCell="A818" workbookViewId="0">
      <selection activeCell="N1263" sqref="N1263"/>
    </sheetView>
  </sheetViews>
  <sheetFormatPr defaultColWidth="9.08984375" defaultRowHeight="13" x14ac:dyDescent="0.3"/>
  <cols>
    <col min="1" max="1" width="20.6328125" style="1" customWidth="1"/>
    <col min="2" max="2" width="14.81640625" style="1" customWidth="1"/>
    <col min="3" max="3" width="9.08984375" style="1"/>
    <col min="4" max="4" width="10.36328125" style="1" bestFit="1" customWidth="1"/>
    <col min="5" max="5" width="11.1796875" style="1" bestFit="1" customWidth="1"/>
    <col min="6" max="7" width="9.08984375" style="1"/>
    <col min="8" max="8" width="10.1796875" style="1" bestFit="1" customWidth="1"/>
    <col min="9" max="16384" width="9.08984375" style="1"/>
  </cols>
  <sheetData>
    <row r="1" spans="1:4" x14ac:dyDescent="0.3">
      <c r="A1" s="2" t="s">
        <v>0</v>
      </c>
      <c r="B1" s="2" t="s">
        <v>1</v>
      </c>
      <c r="D1" s="6" t="s">
        <v>2</v>
      </c>
    </row>
    <row r="2" spans="1:4" x14ac:dyDescent="0.3">
      <c r="A2" s="3">
        <v>44428</v>
      </c>
      <c r="B2" s="4">
        <v>16450.5</v>
      </c>
    </row>
    <row r="3" spans="1:4" x14ac:dyDescent="0.3">
      <c r="A3" s="3">
        <v>44431</v>
      </c>
      <c r="B3" s="4">
        <v>16496.45</v>
      </c>
      <c r="C3" s="7">
        <v>1</v>
      </c>
      <c r="D3" s="5">
        <f t="shared" ref="D3:D66" si="0">LN(B3/B2)</f>
        <v>2.7893343567396453E-3</v>
      </c>
    </row>
    <row r="4" spans="1:4" x14ac:dyDescent="0.3">
      <c r="A4" s="3">
        <v>44432</v>
      </c>
      <c r="B4" s="4">
        <v>16624.599999999999</v>
      </c>
      <c r="C4" s="7">
        <v>2</v>
      </c>
      <c r="D4" s="5">
        <f t="shared" si="0"/>
        <v>7.7383198591159386E-3</v>
      </c>
    </row>
    <row r="5" spans="1:4" x14ac:dyDescent="0.3">
      <c r="A5" s="3">
        <v>44433</v>
      </c>
      <c r="B5" s="4">
        <v>16634.650000000001</v>
      </c>
      <c r="C5" s="7">
        <v>3</v>
      </c>
      <c r="D5" s="5">
        <f t="shared" si="0"/>
        <v>6.0434317105073718E-4</v>
      </c>
    </row>
    <row r="6" spans="1:4" x14ac:dyDescent="0.3">
      <c r="A6" s="3">
        <v>44434</v>
      </c>
      <c r="B6" s="4">
        <v>16636.900000000001</v>
      </c>
      <c r="C6" s="7">
        <v>4</v>
      </c>
      <c r="D6" s="5">
        <f t="shared" si="0"/>
        <v>1.3525068735473022E-4</v>
      </c>
    </row>
    <row r="7" spans="1:4" x14ac:dyDescent="0.3">
      <c r="A7" s="3">
        <v>44435</v>
      </c>
      <c r="B7" s="4">
        <v>16705.2</v>
      </c>
      <c r="C7" s="7">
        <v>5</v>
      </c>
      <c r="D7" s="5">
        <f t="shared" si="0"/>
        <v>4.0969282398875722E-3</v>
      </c>
    </row>
    <row r="8" spans="1:4" x14ac:dyDescent="0.3">
      <c r="A8" s="3">
        <v>44438</v>
      </c>
      <c r="B8" s="4">
        <v>16931.05</v>
      </c>
      <c r="C8" s="7">
        <v>6</v>
      </c>
      <c r="D8" s="5">
        <f t="shared" si="0"/>
        <v>1.3429166104186735E-2</v>
      </c>
    </row>
    <row r="9" spans="1:4" x14ac:dyDescent="0.3">
      <c r="A9" s="3">
        <v>44439</v>
      </c>
      <c r="B9" s="4">
        <v>17132.2</v>
      </c>
      <c r="C9" s="7">
        <v>7</v>
      </c>
      <c r="D9" s="5">
        <f t="shared" si="0"/>
        <v>1.1810519440649946E-2</v>
      </c>
    </row>
    <row r="10" spans="1:4" x14ac:dyDescent="0.3">
      <c r="A10" s="3">
        <v>44440</v>
      </c>
      <c r="B10" s="4">
        <v>17076.25</v>
      </c>
      <c r="C10" s="7">
        <v>8</v>
      </c>
      <c r="D10" s="5">
        <f t="shared" si="0"/>
        <v>-3.2711245256615783E-3</v>
      </c>
    </row>
    <row r="11" spans="1:4" x14ac:dyDescent="0.3">
      <c r="A11" s="3">
        <v>44441</v>
      </c>
      <c r="B11" s="4">
        <v>17234.150000000001</v>
      </c>
      <c r="C11" s="7">
        <v>9</v>
      </c>
      <c r="D11" s="5">
        <f t="shared" si="0"/>
        <v>9.2042712853325718E-3</v>
      </c>
    </row>
    <row r="12" spans="1:4" x14ac:dyDescent="0.3">
      <c r="A12" s="3">
        <v>44442</v>
      </c>
      <c r="B12" s="4">
        <v>17323.599999999999</v>
      </c>
      <c r="C12" s="7">
        <v>10</v>
      </c>
      <c r="D12" s="5">
        <f t="shared" si="0"/>
        <v>5.1768532251176254E-3</v>
      </c>
    </row>
    <row r="13" spans="1:4" x14ac:dyDescent="0.3">
      <c r="A13" s="3">
        <v>44445</v>
      </c>
      <c r="B13" s="4">
        <v>17377.8</v>
      </c>
      <c r="C13" s="7">
        <v>11</v>
      </c>
      <c r="D13" s="5">
        <f t="shared" si="0"/>
        <v>3.1237958165422752E-3</v>
      </c>
    </row>
    <row r="14" spans="1:4" x14ac:dyDescent="0.3">
      <c r="A14" s="3">
        <v>44446</v>
      </c>
      <c r="B14" s="4">
        <v>17362.099999999999</v>
      </c>
      <c r="C14" s="7">
        <v>12</v>
      </c>
      <c r="D14" s="5">
        <f t="shared" si="0"/>
        <v>-9.0385988841995806E-4</v>
      </c>
    </row>
    <row r="15" spans="1:4" x14ac:dyDescent="0.3">
      <c r="A15" s="3">
        <v>44447</v>
      </c>
      <c r="B15" s="4">
        <v>17353.5</v>
      </c>
      <c r="C15" s="7">
        <v>13</v>
      </c>
      <c r="D15" s="5">
        <f t="shared" si="0"/>
        <v>-4.9545450321603589E-4</v>
      </c>
    </row>
    <row r="16" spans="1:4" x14ac:dyDescent="0.3">
      <c r="A16" s="3">
        <v>44448</v>
      </c>
      <c r="B16" s="4">
        <v>17369.25</v>
      </c>
      <c r="C16" s="7">
        <v>14</v>
      </c>
      <c r="D16" s="5">
        <f t="shared" si="0"/>
        <v>9.0718627298651939E-4</v>
      </c>
    </row>
    <row r="17" spans="1:4" x14ac:dyDescent="0.3">
      <c r="A17" s="3">
        <v>44452</v>
      </c>
      <c r="B17" s="4">
        <v>17355.3</v>
      </c>
      <c r="C17" s="7">
        <v>15</v>
      </c>
      <c r="D17" s="5">
        <f t="shared" si="0"/>
        <v>-8.0346617885402119E-4</v>
      </c>
    </row>
    <row r="18" spans="1:4" x14ac:dyDescent="0.3">
      <c r="A18" s="3">
        <v>44453</v>
      </c>
      <c r="B18" s="4">
        <v>17380</v>
      </c>
      <c r="C18" s="7">
        <v>16</v>
      </c>
      <c r="D18" s="5">
        <f t="shared" si="0"/>
        <v>1.4221845881971984E-3</v>
      </c>
    </row>
    <row r="19" spans="1:4" x14ac:dyDescent="0.3">
      <c r="A19" s="3">
        <v>44454</v>
      </c>
      <c r="B19" s="4">
        <v>17519.45</v>
      </c>
      <c r="C19" s="7">
        <v>17</v>
      </c>
      <c r="D19" s="5">
        <f t="shared" si="0"/>
        <v>7.9915724841745379E-3</v>
      </c>
    </row>
    <row r="20" spans="1:4" x14ac:dyDescent="0.3">
      <c r="A20" s="3">
        <v>44455</v>
      </c>
      <c r="B20" s="4">
        <v>17629.5</v>
      </c>
      <c r="C20" s="7">
        <v>18</v>
      </c>
      <c r="D20" s="5">
        <f t="shared" si="0"/>
        <v>6.2619429374609938E-3</v>
      </c>
    </row>
    <row r="21" spans="1:4" x14ac:dyDescent="0.3">
      <c r="A21" s="3">
        <v>44456</v>
      </c>
      <c r="B21" s="4">
        <v>17585.150000000001</v>
      </c>
      <c r="C21" s="7">
        <v>19</v>
      </c>
      <c r="D21" s="5">
        <f t="shared" si="0"/>
        <v>-2.5188393721590984E-3</v>
      </c>
    </row>
    <row r="22" spans="1:4" x14ac:dyDescent="0.3">
      <c r="A22" s="3">
        <v>44459</v>
      </c>
      <c r="B22" s="4">
        <v>17396.900000000001</v>
      </c>
      <c r="C22" s="7">
        <v>20</v>
      </c>
      <c r="D22" s="5">
        <f t="shared" si="0"/>
        <v>-1.0762766458321043E-2</v>
      </c>
    </row>
    <row r="23" spans="1:4" x14ac:dyDescent="0.3">
      <c r="A23" s="3">
        <v>44460</v>
      </c>
      <c r="B23" s="4">
        <v>17562</v>
      </c>
      <c r="C23" s="7">
        <v>21</v>
      </c>
      <c r="D23" s="5">
        <f t="shared" si="0"/>
        <v>9.4454475094025107E-3</v>
      </c>
    </row>
    <row r="24" spans="1:4" x14ac:dyDescent="0.3">
      <c r="A24" s="3">
        <v>44461</v>
      </c>
      <c r="B24" s="4">
        <v>17546.650000000001</v>
      </c>
      <c r="C24" s="7">
        <v>22</v>
      </c>
      <c r="D24" s="5">
        <f t="shared" si="0"/>
        <v>-8.744284373270665E-4</v>
      </c>
    </row>
    <row r="25" spans="1:4" x14ac:dyDescent="0.3">
      <c r="A25" s="3">
        <v>44462</v>
      </c>
      <c r="B25" s="4">
        <v>17822.95</v>
      </c>
      <c r="C25" s="7">
        <v>23</v>
      </c>
      <c r="D25" s="5">
        <f t="shared" si="0"/>
        <v>1.5623904173446654E-2</v>
      </c>
    </row>
    <row r="26" spans="1:4" x14ac:dyDescent="0.3">
      <c r="A26" s="3">
        <v>44463</v>
      </c>
      <c r="B26" s="4">
        <v>17853.2</v>
      </c>
      <c r="C26" s="7">
        <v>24</v>
      </c>
      <c r="D26" s="5">
        <f t="shared" si="0"/>
        <v>1.6958111931557232E-3</v>
      </c>
    </row>
    <row r="27" spans="1:4" x14ac:dyDescent="0.3">
      <c r="A27" s="3">
        <v>44466</v>
      </c>
      <c r="B27" s="4">
        <v>17855.099999999999</v>
      </c>
      <c r="C27" s="7">
        <v>25</v>
      </c>
      <c r="D27" s="5">
        <f t="shared" si="0"/>
        <v>1.0641783572961581E-4</v>
      </c>
    </row>
    <row r="28" spans="1:4" x14ac:dyDescent="0.3">
      <c r="A28" s="3">
        <v>44467</v>
      </c>
      <c r="B28" s="4">
        <v>17748.599999999999</v>
      </c>
      <c r="C28" s="7">
        <v>26</v>
      </c>
      <c r="D28" s="5">
        <f t="shared" si="0"/>
        <v>-5.982542131478065E-3</v>
      </c>
    </row>
    <row r="29" spans="1:4" x14ac:dyDescent="0.3">
      <c r="A29" s="3">
        <v>44468</v>
      </c>
      <c r="B29" s="4">
        <v>17711.3</v>
      </c>
      <c r="C29" s="7">
        <v>27</v>
      </c>
      <c r="D29" s="5">
        <f t="shared" si="0"/>
        <v>-2.1037856145795374E-3</v>
      </c>
    </row>
    <row r="30" spans="1:4" x14ac:dyDescent="0.3">
      <c r="A30" s="3">
        <v>44469</v>
      </c>
      <c r="B30" s="4">
        <v>17618.150000000001</v>
      </c>
      <c r="C30" s="7">
        <v>28</v>
      </c>
      <c r="D30" s="5">
        <f t="shared" si="0"/>
        <v>-5.2732332856385341E-3</v>
      </c>
    </row>
    <row r="31" spans="1:4" x14ac:dyDescent="0.3">
      <c r="A31" s="3">
        <v>44470</v>
      </c>
      <c r="B31" s="4">
        <v>17532.05</v>
      </c>
      <c r="C31" s="7">
        <v>29</v>
      </c>
      <c r="D31" s="5">
        <f t="shared" si="0"/>
        <v>-4.8989861907132821E-3</v>
      </c>
    </row>
    <row r="32" spans="1:4" x14ac:dyDescent="0.3">
      <c r="A32" s="3">
        <v>44473</v>
      </c>
      <c r="B32" s="4">
        <v>17691.25</v>
      </c>
      <c r="C32" s="7">
        <v>30</v>
      </c>
      <c r="D32" s="5">
        <f t="shared" si="0"/>
        <v>9.0395325855123446E-3</v>
      </c>
    </row>
    <row r="33" spans="1:4" x14ac:dyDescent="0.3">
      <c r="A33" s="3">
        <v>44474</v>
      </c>
      <c r="B33" s="4">
        <v>17822.3</v>
      </c>
      <c r="C33" s="7">
        <v>31</v>
      </c>
      <c r="D33" s="5">
        <f t="shared" si="0"/>
        <v>7.3803151105359625E-3</v>
      </c>
    </row>
    <row r="34" spans="1:4" x14ac:dyDescent="0.3">
      <c r="A34" s="3">
        <v>44475</v>
      </c>
      <c r="B34" s="4">
        <v>17646</v>
      </c>
      <c r="C34" s="7">
        <v>32</v>
      </c>
      <c r="D34" s="5">
        <f t="shared" si="0"/>
        <v>-9.9413533765346368E-3</v>
      </c>
    </row>
    <row r="35" spans="1:4" x14ac:dyDescent="0.3">
      <c r="A35" s="3">
        <v>44476</v>
      </c>
      <c r="B35" s="4">
        <v>17790.349999999999</v>
      </c>
      <c r="C35" s="7">
        <v>33</v>
      </c>
      <c r="D35" s="5">
        <f t="shared" si="0"/>
        <v>8.1470466584434558E-3</v>
      </c>
    </row>
    <row r="36" spans="1:4" x14ac:dyDescent="0.3">
      <c r="A36" s="3">
        <v>44477</v>
      </c>
      <c r="B36" s="4">
        <v>17895.2</v>
      </c>
      <c r="C36" s="7">
        <v>34</v>
      </c>
      <c r="D36" s="5">
        <f t="shared" si="0"/>
        <v>5.8763450034090793E-3</v>
      </c>
    </row>
    <row r="37" spans="1:4" x14ac:dyDescent="0.3">
      <c r="A37" s="3">
        <v>44480</v>
      </c>
      <c r="B37" s="4">
        <v>17945.95</v>
      </c>
      <c r="C37" s="7">
        <v>35</v>
      </c>
      <c r="D37" s="5">
        <f t="shared" si="0"/>
        <v>2.831942274032983E-3</v>
      </c>
    </row>
    <row r="38" spans="1:4" x14ac:dyDescent="0.3">
      <c r="A38" s="3">
        <v>44481</v>
      </c>
      <c r="B38" s="4">
        <v>17991.95</v>
      </c>
      <c r="C38" s="7">
        <v>36</v>
      </c>
      <c r="D38" s="5">
        <f t="shared" si="0"/>
        <v>2.5599729044600752E-3</v>
      </c>
    </row>
    <row r="39" spans="1:4" x14ac:dyDescent="0.3">
      <c r="A39" s="3">
        <v>44482</v>
      </c>
      <c r="B39" s="4">
        <v>18161.75</v>
      </c>
      <c r="C39" s="7">
        <v>37</v>
      </c>
      <c r="D39" s="5">
        <f t="shared" si="0"/>
        <v>9.3932985287852669E-3</v>
      </c>
    </row>
    <row r="40" spans="1:4" x14ac:dyDescent="0.3">
      <c r="A40" s="3">
        <v>44483</v>
      </c>
      <c r="B40" s="4">
        <v>18338.55</v>
      </c>
      <c r="C40" s="7">
        <v>38</v>
      </c>
      <c r="D40" s="5">
        <f t="shared" si="0"/>
        <v>9.6876673744827318E-3</v>
      </c>
    </row>
    <row r="41" spans="1:4" x14ac:dyDescent="0.3">
      <c r="A41" s="3">
        <v>44487</v>
      </c>
      <c r="B41" s="4">
        <v>18477.05</v>
      </c>
      <c r="C41" s="7">
        <v>39</v>
      </c>
      <c r="D41" s="5">
        <f t="shared" si="0"/>
        <v>7.5240198928300944E-3</v>
      </c>
    </row>
    <row r="42" spans="1:4" x14ac:dyDescent="0.3">
      <c r="A42" s="3">
        <v>44488</v>
      </c>
      <c r="B42" s="4">
        <v>18418.75</v>
      </c>
      <c r="C42" s="7">
        <v>40</v>
      </c>
      <c r="D42" s="5">
        <f t="shared" si="0"/>
        <v>-3.1602539324889403E-3</v>
      </c>
    </row>
    <row r="43" spans="1:4" x14ac:dyDescent="0.3">
      <c r="A43" s="3">
        <v>44489</v>
      </c>
      <c r="B43" s="4">
        <v>18266.599999999999</v>
      </c>
      <c r="C43" s="7">
        <v>41</v>
      </c>
      <c r="D43" s="5">
        <f t="shared" si="0"/>
        <v>-8.2949118597041606E-3</v>
      </c>
    </row>
    <row r="44" spans="1:4" x14ac:dyDescent="0.3">
      <c r="A44" s="3">
        <v>44490</v>
      </c>
      <c r="B44" s="4">
        <v>18178.099999999999</v>
      </c>
      <c r="C44" s="7">
        <v>42</v>
      </c>
      <c r="D44" s="5">
        <f t="shared" si="0"/>
        <v>-4.8566828074737599E-3</v>
      </c>
    </row>
    <row r="45" spans="1:4" x14ac:dyDescent="0.3">
      <c r="A45" s="3">
        <v>44491</v>
      </c>
      <c r="B45" s="4">
        <v>18114.900000000001</v>
      </c>
      <c r="C45" s="7">
        <v>43</v>
      </c>
      <c r="D45" s="5">
        <f t="shared" si="0"/>
        <v>-3.4827687919410082E-3</v>
      </c>
    </row>
    <row r="46" spans="1:4" x14ac:dyDescent="0.3">
      <c r="A46" s="3">
        <v>44494</v>
      </c>
      <c r="B46" s="4">
        <v>18125.400000000001</v>
      </c>
      <c r="C46" s="7">
        <v>44</v>
      </c>
      <c r="D46" s="5">
        <f t="shared" si="0"/>
        <v>5.7946541799084499E-4</v>
      </c>
    </row>
    <row r="47" spans="1:4" x14ac:dyDescent="0.3">
      <c r="A47" s="3">
        <v>44495</v>
      </c>
      <c r="B47" s="4">
        <v>18268.400000000001</v>
      </c>
      <c r="C47" s="7">
        <v>45</v>
      </c>
      <c r="D47" s="5">
        <f t="shared" si="0"/>
        <v>7.858521832249608E-3</v>
      </c>
    </row>
    <row r="48" spans="1:4" x14ac:dyDescent="0.3">
      <c r="A48" s="3">
        <v>44496</v>
      </c>
      <c r="B48" s="4">
        <v>18210.95</v>
      </c>
      <c r="C48" s="7">
        <v>46</v>
      </c>
      <c r="D48" s="5">
        <f t="shared" si="0"/>
        <v>-3.1497297783985938E-3</v>
      </c>
    </row>
    <row r="49" spans="1:4" x14ac:dyDescent="0.3">
      <c r="A49" s="3">
        <v>44497</v>
      </c>
      <c r="B49" s="4">
        <v>17857.25</v>
      </c>
      <c r="C49" s="7">
        <v>47</v>
      </c>
      <c r="D49" s="5">
        <f t="shared" si="0"/>
        <v>-1.961347328760292E-2</v>
      </c>
    </row>
    <row r="50" spans="1:4" x14ac:dyDescent="0.3">
      <c r="A50" s="3">
        <v>44498</v>
      </c>
      <c r="B50" s="4">
        <v>17671.650000000001</v>
      </c>
      <c r="C50" s="7">
        <v>48</v>
      </c>
      <c r="D50" s="5">
        <f t="shared" si="0"/>
        <v>-1.0447927649083697E-2</v>
      </c>
    </row>
    <row r="51" spans="1:4" x14ac:dyDescent="0.3">
      <c r="A51" s="3">
        <v>44501</v>
      </c>
      <c r="B51" s="4">
        <v>17929.650000000001</v>
      </c>
      <c r="C51" s="7">
        <v>49</v>
      </c>
      <c r="D51" s="5">
        <f t="shared" si="0"/>
        <v>1.4494106489669145E-2</v>
      </c>
    </row>
    <row r="52" spans="1:4" x14ac:dyDescent="0.3">
      <c r="A52" s="3">
        <v>44502</v>
      </c>
      <c r="B52" s="4">
        <v>17888.95</v>
      </c>
      <c r="C52" s="7">
        <v>50</v>
      </c>
      <c r="D52" s="5">
        <f t="shared" si="0"/>
        <v>-2.2725632780962878E-3</v>
      </c>
    </row>
    <row r="53" spans="1:4" x14ac:dyDescent="0.3">
      <c r="A53" s="3">
        <v>44503</v>
      </c>
      <c r="B53" s="4">
        <v>17829.2</v>
      </c>
      <c r="C53" s="7">
        <v>51</v>
      </c>
      <c r="D53" s="5">
        <f t="shared" si="0"/>
        <v>-3.3456411226991806E-3</v>
      </c>
    </row>
    <row r="54" spans="1:4" x14ac:dyDescent="0.3">
      <c r="A54" s="3">
        <v>44504</v>
      </c>
      <c r="B54" s="4">
        <v>17916.8</v>
      </c>
      <c r="C54" s="7">
        <v>52</v>
      </c>
      <c r="D54" s="5">
        <f t="shared" si="0"/>
        <v>4.9012575036592558E-3</v>
      </c>
    </row>
    <row r="55" spans="1:4" x14ac:dyDescent="0.3">
      <c r="A55" s="3">
        <v>44508</v>
      </c>
      <c r="B55" s="4">
        <v>18068.55</v>
      </c>
      <c r="C55" s="7">
        <v>53</v>
      </c>
      <c r="D55" s="5">
        <f t="shared" si="0"/>
        <v>8.4340377145086798E-3</v>
      </c>
    </row>
    <row r="56" spans="1:4" x14ac:dyDescent="0.3">
      <c r="A56" s="3">
        <v>44509</v>
      </c>
      <c r="B56" s="4">
        <v>18044.25</v>
      </c>
      <c r="C56" s="7">
        <v>54</v>
      </c>
      <c r="D56" s="5">
        <f t="shared" si="0"/>
        <v>-1.3457834157164536E-3</v>
      </c>
    </row>
    <row r="57" spans="1:4" x14ac:dyDescent="0.3">
      <c r="A57" s="3">
        <v>44510</v>
      </c>
      <c r="B57" s="4">
        <v>18017.2</v>
      </c>
      <c r="C57" s="7">
        <v>55</v>
      </c>
      <c r="D57" s="5">
        <f t="shared" si="0"/>
        <v>-1.5002172720921161E-3</v>
      </c>
    </row>
    <row r="58" spans="1:4" x14ac:dyDescent="0.3">
      <c r="A58" s="3">
        <v>44511</v>
      </c>
      <c r="B58" s="4">
        <v>17873.599999999999</v>
      </c>
      <c r="C58" s="7">
        <v>56</v>
      </c>
      <c r="D58" s="5">
        <f t="shared" si="0"/>
        <v>-8.0020933646903214E-3</v>
      </c>
    </row>
    <row r="59" spans="1:4" x14ac:dyDescent="0.3">
      <c r="A59" s="3">
        <v>44512</v>
      </c>
      <c r="B59" s="4">
        <v>18102.75</v>
      </c>
      <c r="C59" s="7">
        <v>57</v>
      </c>
      <c r="D59" s="5">
        <f t="shared" si="0"/>
        <v>1.2739096598234837E-2</v>
      </c>
    </row>
    <row r="60" spans="1:4" x14ac:dyDescent="0.3">
      <c r="A60" s="3">
        <v>44515</v>
      </c>
      <c r="B60" s="4">
        <v>18109.45</v>
      </c>
      <c r="C60" s="7">
        <v>58</v>
      </c>
      <c r="D60" s="5">
        <f t="shared" si="0"/>
        <v>3.700410401166087E-4</v>
      </c>
    </row>
    <row r="61" spans="1:4" x14ac:dyDescent="0.3">
      <c r="A61" s="3">
        <v>44516</v>
      </c>
      <c r="B61" s="4">
        <v>17999.2</v>
      </c>
      <c r="C61" s="7">
        <v>59</v>
      </c>
      <c r="D61" s="5">
        <f t="shared" si="0"/>
        <v>-6.1065890087613648E-3</v>
      </c>
    </row>
    <row r="62" spans="1:4" x14ac:dyDescent="0.3">
      <c r="A62" s="3">
        <v>44517</v>
      </c>
      <c r="B62" s="4">
        <v>17898.650000000001</v>
      </c>
      <c r="C62" s="7">
        <v>60</v>
      </c>
      <c r="D62" s="5">
        <f t="shared" si="0"/>
        <v>-5.6020214558960254E-3</v>
      </c>
    </row>
    <row r="63" spans="1:4" x14ac:dyDescent="0.3">
      <c r="A63" s="3">
        <v>44518</v>
      </c>
      <c r="B63" s="4">
        <v>17764.8</v>
      </c>
      <c r="C63" s="7">
        <v>61</v>
      </c>
      <c r="D63" s="5">
        <f t="shared" si="0"/>
        <v>-7.5063196902765391E-3</v>
      </c>
    </row>
    <row r="64" spans="1:4" x14ac:dyDescent="0.3">
      <c r="A64" s="3">
        <v>44522</v>
      </c>
      <c r="B64" s="4">
        <v>17416.55</v>
      </c>
      <c r="C64" s="7">
        <v>62</v>
      </c>
      <c r="D64" s="5">
        <f t="shared" si="0"/>
        <v>-1.9798067728082253E-2</v>
      </c>
    </row>
    <row r="65" spans="1:4" x14ac:dyDescent="0.3">
      <c r="A65" s="3">
        <v>44523</v>
      </c>
      <c r="B65" s="4">
        <v>17503.349999999999</v>
      </c>
      <c r="C65" s="7">
        <v>63</v>
      </c>
      <c r="D65" s="5">
        <f t="shared" si="0"/>
        <v>4.9713875910040546E-3</v>
      </c>
    </row>
    <row r="66" spans="1:4" x14ac:dyDescent="0.3">
      <c r="A66" s="3">
        <v>44524</v>
      </c>
      <c r="B66" s="4">
        <v>17415.05</v>
      </c>
      <c r="C66" s="7">
        <v>64</v>
      </c>
      <c r="D66" s="5">
        <f t="shared" si="0"/>
        <v>-5.0575162788005449E-3</v>
      </c>
    </row>
    <row r="67" spans="1:4" x14ac:dyDescent="0.3">
      <c r="A67" s="3">
        <v>44525</v>
      </c>
      <c r="B67" s="4">
        <v>17536.25</v>
      </c>
      <c r="C67" s="7">
        <v>65</v>
      </c>
      <c r="D67" s="5">
        <f t="shared" ref="D67:D130" si="1">LN(B67/B66)</f>
        <v>6.9353921488597555E-3</v>
      </c>
    </row>
    <row r="68" spans="1:4" x14ac:dyDescent="0.3">
      <c r="A68" s="3">
        <v>44526</v>
      </c>
      <c r="B68" s="4">
        <v>17026.45</v>
      </c>
      <c r="C68" s="7">
        <v>66</v>
      </c>
      <c r="D68" s="5">
        <f t="shared" si="1"/>
        <v>-2.9502149772621358E-2</v>
      </c>
    </row>
    <row r="69" spans="1:4" x14ac:dyDescent="0.3">
      <c r="A69" s="3">
        <v>44529</v>
      </c>
      <c r="B69" s="4">
        <v>17053.95</v>
      </c>
      <c r="C69" s="7">
        <v>67</v>
      </c>
      <c r="D69" s="5">
        <f t="shared" si="1"/>
        <v>1.6138311738437181E-3</v>
      </c>
    </row>
    <row r="70" spans="1:4" x14ac:dyDescent="0.3">
      <c r="A70" s="3">
        <v>44530</v>
      </c>
      <c r="B70" s="4">
        <v>16983.2</v>
      </c>
      <c r="C70" s="7">
        <v>68</v>
      </c>
      <c r="D70" s="5">
        <f t="shared" si="1"/>
        <v>-4.1572283164124264E-3</v>
      </c>
    </row>
    <row r="71" spans="1:4" x14ac:dyDescent="0.3">
      <c r="A71" s="3">
        <v>44531</v>
      </c>
      <c r="B71" s="4">
        <v>17166.900000000001</v>
      </c>
      <c r="C71" s="7">
        <v>69</v>
      </c>
      <c r="D71" s="5">
        <f t="shared" si="1"/>
        <v>1.0758491006561958E-2</v>
      </c>
    </row>
    <row r="72" spans="1:4" x14ac:dyDescent="0.3">
      <c r="A72" s="3">
        <v>44532</v>
      </c>
      <c r="B72" s="4">
        <v>17401.650000000001</v>
      </c>
      <c r="C72" s="7">
        <v>70</v>
      </c>
      <c r="D72" s="5">
        <f t="shared" si="1"/>
        <v>1.358191816862196E-2</v>
      </c>
    </row>
    <row r="73" spans="1:4" x14ac:dyDescent="0.3">
      <c r="A73" s="3">
        <v>44533</v>
      </c>
      <c r="B73" s="4">
        <v>17196.7</v>
      </c>
      <c r="C73" s="7">
        <v>71</v>
      </c>
      <c r="D73" s="5">
        <f t="shared" si="1"/>
        <v>-1.1847524364121427E-2</v>
      </c>
    </row>
    <row r="74" spans="1:4" x14ac:dyDescent="0.3">
      <c r="A74" s="3">
        <v>44536</v>
      </c>
      <c r="B74" s="4">
        <v>16912.25</v>
      </c>
      <c r="C74" s="7">
        <v>72</v>
      </c>
      <c r="D74" s="5">
        <f t="shared" si="1"/>
        <v>-1.6679293525066932E-2</v>
      </c>
    </row>
    <row r="75" spans="1:4" x14ac:dyDescent="0.3">
      <c r="A75" s="3">
        <v>44537</v>
      </c>
      <c r="B75" s="4">
        <v>17176.7</v>
      </c>
      <c r="C75" s="7">
        <v>73</v>
      </c>
      <c r="D75" s="5">
        <f t="shared" si="1"/>
        <v>1.5515602865605863E-2</v>
      </c>
    </row>
    <row r="76" spans="1:4" x14ac:dyDescent="0.3">
      <c r="A76" s="3">
        <v>44538</v>
      </c>
      <c r="B76" s="4">
        <v>17469.75</v>
      </c>
      <c r="C76" s="7">
        <v>74</v>
      </c>
      <c r="D76" s="5">
        <f t="shared" si="1"/>
        <v>1.6916999510179991E-2</v>
      </c>
    </row>
    <row r="77" spans="1:4" x14ac:dyDescent="0.3">
      <c r="A77" s="3">
        <v>44539</v>
      </c>
      <c r="B77" s="4">
        <v>17516.849999999999</v>
      </c>
      <c r="C77" s="7">
        <v>75</v>
      </c>
      <c r="D77" s="5">
        <f t="shared" si="1"/>
        <v>2.6924610252884998E-3</v>
      </c>
    </row>
    <row r="78" spans="1:4" x14ac:dyDescent="0.3">
      <c r="A78" s="3">
        <v>44540</v>
      </c>
      <c r="B78" s="4">
        <v>17511.3</v>
      </c>
      <c r="C78" s="7">
        <v>76</v>
      </c>
      <c r="D78" s="5">
        <f t="shared" si="1"/>
        <v>-3.1688799131232727E-4</v>
      </c>
    </row>
    <row r="79" spans="1:4" x14ac:dyDescent="0.3">
      <c r="A79" s="3">
        <v>44543</v>
      </c>
      <c r="B79" s="4">
        <v>17368.25</v>
      </c>
      <c r="C79" s="7">
        <v>77</v>
      </c>
      <c r="D79" s="5">
        <f t="shared" si="1"/>
        <v>-8.2025600706723129E-3</v>
      </c>
    </row>
    <row r="80" spans="1:4" x14ac:dyDescent="0.3">
      <c r="A80" s="3">
        <v>44544</v>
      </c>
      <c r="B80" s="4">
        <v>17324.900000000001</v>
      </c>
      <c r="C80" s="7">
        <v>78</v>
      </c>
      <c r="D80" s="5">
        <f t="shared" si="1"/>
        <v>-2.4990537072034653E-3</v>
      </c>
    </row>
    <row r="81" spans="1:4" x14ac:dyDescent="0.3">
      <c r="A81" s="3">
        <v>44545</v>
      </c>
      <c r="B81" s="4">
        <v>17221.400000000001</v>
      </c>
      <c r="C81" s="7">
        <v>79</v>
      </c>
      <c r="D81" s="5">
        <f t="shared" si="1"/>
        <v>-5.9919765456759484E-3</v>
      </c>
    </row>
    <row r="82" spans="1:4" x14ac:dyDescent="0.3">
      <c r="A82" s="3">
        <v>44546</v>
      </c>
      <c r="B82" s="4">
        <v>17248.400000000001</v>
      </c>
      <c r="C82" s="7">
        <v>80</v>
      </c>
      <c r="D82" s="5">
        <f t="shared" si="1"/>
        <v>1.5665890444361708E-3</v>
      </c>
    </row>
    <row r="83" spans="1:4" x14ac:dyDescent="0.3">
      <c r="A83" s="3">
        <v>44547</v>
      </c>
      <c r="B83" s="4">
        <v>16985.2</v>
      </c>
      <c r="C83" s="7">
        <v>81</v>
      </c>
      <c r="D83" s="5">
        <f t="shared" si="1"/>
        <v>-1.5377008913403054E-2</v>
      </c>
    </row>
    <row r="84" spans="1:4" x14ac:dyDescent="0.3">
      <c r="A84" s="3">
        <v>44550</v>
      </c>
      <c r="B84" s="4">
        <v>16614.2</v>
      </c>
      <c r="C84" s="7">
        <v>82</v>
      </c>
      <c r="D84" s="5">
        <f t="shared" si="1"/>
        <v>-2.208462525426377E-2</v>
      </c>
    </row>
    <row r="85" spans="1:4" x14ac:dyDescent="0.3">
      <c r="A85" s="3">
        <v>44551</v>
      </c>
      <c r="B85" s="4">
        <v>16770.849999999999</v>
      </c>
      <c r="C85" s="7">
        <v>83</v>
      </c>
      <c r="D85" s="5">
        <f t="shared" si="1"/>
        <v>9.3845089143681712E-3</v>
      </c>
    </row>
    <row r="86" spans="1:4" x14ac:dyDescent="0.3">
      <c r="A86" s="3">
        <v>44552</v>
      </c>
      <c r="B86" s="4">
        <v>16955.45</v>
      </c>
      <c r="C86" s="7">
        <v>84</v>
      </c>
      <c r="D86" s="5">
        <f t="shared" si="1"/>
        <v>1.0947055769810723E-2</v>
      </c>
    </row>
    <row r="87" spans="1:4" x14ac:dyDescent="0.3">
      <c r="A87" s="3">
        <v>44553</v>
      </c>
      <c r="B87" s="4">
        <v>17072.599999999999</v>
      </c>
      <c r="C87" s="7">
        <v>85</v>
      </c>
      <c r="D87" s="5">
        <f t="shared" si="1"/>
        <v>6.885523140111989E-3</v>
      </c>
    </row>
    <row r="88" spans="1:4" x14ac:dyDescent="0.3">
      <c r="A88" s="3">
        <v>44554</v>
      </c>
      <c r="B88" s="4">
        <v>17003.75</v>
      </c>
      <c r="C88" s="7">
        <v>86</v>
      </c>
      <c r="D88" s="5">
        <f t="shared" si="1"/>
        <v>-4.0409312434183352E-3</v>
      </c>
    </row>
    <row r="89" spans="1:4" x14ac:dyDescent="0.3">
      <c r="A89" s="3">
        <v>44557</v>
      </c>
      <c r="B89" s="4">
        <v>17086.25</v>
      </c>
      <c r="C89" s="7">
        <v>87</v>
      </c>
      <c r="D89" s="5">
        <f t="shared" si="1"/>
        <v>4.8401385192229909E-3</v>
      </c>
    </row>
    <row r="90" spans="1:4" x14ac:dyDescent="0.3">
      <c r="A90" s="3">
        <v>44558</v>
      </c>
      <c r="B90" s="4">
        <v>17233.25</v>
      </c>
      <c r="C90" s="7">
        <v>88</v>
      </c>
      <c r="D90" s="5">
        <f t="shared" si="1"/>
        <v>8.5666107599145849E-3</v>
      </c>
    </row>
    <row r="91" spans="1:4" x14ac:dyDescent="0.3">
      <c r="A91" s="3">
        <v>44559</v>
      </c>
      <c r="B91" s="4">
        <v>17213.599999999999</v>
      </c>
      <c r="C91" s="7">
        <v>89</v>
      </c>
      <c r="D91" s="5">
        <f t="shared" si="1"/>
        <v>-1.1408881875360657E-3</v>
      </c>
    </row>
    <row r="92" spans="1:4" x14ac:dyDescent="0.3">
      <c r="A92" s="3">
        <v>44560</v>
      </c>
      <c r="B92" s="4">
        <v>17203.95</v>
      </c>
      <c r="C92" s="7">
        <v>90</v>
      </c>
      <c r="D92" s="5">
        <f t="shared" si="1"/>
        <v>-5.6076044069777991E-4</v>
      </c>
    </row>
    <row r="93" spans="1:4" x14ac:dyDescent="0.3">
      <c r="A93" s="3">
        <v>44561</v>
      </c>
      <c r="B93" s="4">
        <v>17354.05</v>
      </c>
      <c r="C93" s="7">
        <v>91</v>
      </c>
      <c r="D93" s="5">
        <f t="shared" si="1"/>
        <v>8.686899930872365E-3</v>
      </c>
    </row>
    <row r="94" spans="1:4" x14ac:dyDescent="0.3">
      <c r="A94" s="3">
        <v>44564</v>
      </c>
      <c r="B94" s="4">
        <v>17625.7</v>
      </c>
      <c r="C94" s="7">
        <v>92</v>
      </c>
      <c r="D94" s="5">
        <f t="shared" si="1"/>
        <v>1.5532155674438485E-2</v>
      </c>
    </row>
    <row r="95" spans="1:4" x14ac:dyDescent="0.3">
      <c r="A95" s="3">
        <v>44565</v>
      </c>
      <c r="B95" s="4">
        <v>17805.25</v>
      </c>
      <c r="C95" s="7">
        <v>93</v>
      </c>
      <c r="D95" s="5">
        <f t="shared" si="1"/>
        <v>1.0135293409169081E-2</v>
      </c>
    </row>
    <row r="96" spans="1:4" x14ac:dyDescent="0.3">
      <c r="A96" s="3">
        <v>44566</v>
      </c>
      <c r="B96" s="4">
        <v>17925.25</v>
      </c>
      <c r="C96" s="7">
        <v>94</v>
      </c>
      <c r="D96" s="5">
        <f t="shared" si="1"/>
        <v>6.7169757589339947E-3</v>
      </c>
    </row>
    <row r="97" spans="1:4" x14ac:dyDescent="0.3">
      <c r="A97" s="3">
        <v>44567</v>
      </c>
      <c r="B97" s="4">
        <v>17745.900000000001</v>
      </c>
      <c r="C97" s="7">
        <v>95</v>
      </c>
      <c r="D97" s="5">
        <f t="shared" si="1"/>
        <v>-1.0055830065243644E-2</v>
      </c>
    </row>
    <row r="98" spans="1:4" x14ac:dyDescent="0.3">
      <c r="A98" s="3">
        <v>44568</v>
      </c>
      <c r="B98" s="4">
        <v>17812.7</v>
      </c>
      <c r="C98" s="7">
        <v>96</v>
      </c>
      <c r="D98" s="5">
        <f t="shared" si="1"/>
        <v>3.7571827114337929E-3</v>
      </c>
    </row>
    <row r="99" spans="1:4" x14ac:dyDescent="0.3">
      <c r="A99" s="3">
        <v>44571</v>
      </c>
      <c r="B99" s="4">
        <v>18003.3</v>
      </c>
      <c r="C99" s="7">
        <v>97</v>
      </c>
      <c r="D99" s="5">
        <f t="shared" si="1"/>
        <v>1.064338838998579E-2</v>
      </c>
    </row>
    <row r="100" spans="1:4" x14ac:dyDescent="0.3">
      <c r="A100" s="3">
        <v>44572</v>
      </c>
      <c r="B100" s="4">
        <v>18055.75</v>
      </c>
      <c r="C100" s="7">
        <v>98</v>
      </c>
      <c r="D100" s="5">
        <f t="shared" si="1"/>
        <v>2.9091191803581893E-3</v>
      </c>
    </row>
    <row r="101" spans="1:4" x14ac:dyDescent="0.3">
      <c r="A101" s="3">
        <v>44573</v>
      </c>
      <c r="B101" s="4">
        <v>18212.349999999999</v>
      </c>
      <c r="C101" s="7">
        <v>99</v>
      </c>
      <c r="D101" s="5">
        <f t="shared" si="1"/>
        <v>8.6357417794735106E-3</v>
      </c>
    </row>
    <row r="102" spans="1:4" x14ac:dyDescent="0.3">
      <c r="A102" s="3">
        <v>44574</v>
      </c>
      <c r="B102" s="4">
        <v>18257.8</v>
      </c>
      <c r="C102" s="7">
        <v>100</v>
      </c>
      <c r="D102" s="5">
        <f t="shared" si="1"/>
        <v>2.4924505947533245E-3</v>
      </c>
    </row>
    <row r="103" spans="1:4" x14ac:dyDescent="0.3">
      <c r="A103" s="3">
        <v>44575</v>
      </c>
      <c r="B103" s="4">
        <v>18255.75</v>
      </c>
      <c r="C103" s="7">
        <v>101</v>
      </c>
      <c r="D103" s="5">
        <f t="shared" si="1"/>
        <v>-1.1228708258463262E-4</v>
      </c>
    </row>
    <row r="104" spans="1:4" x14ac:dyDescent="0.3">
      <c r="A104" s="3">
        <v>44578</v>
      </c>
      <c r="B104" s="4">
        <v>18308.099999999999</v>
      </c>
      <c r="C104" s="7">
        <v>102</v>
      </c>
      <c r="D104" s="5">
        <f t="shared" si="1"/>
        <v>2.8634859715560308E-3</v>
      </c>
    </row>
    <row r="105" spans="1:4" x14ac:dyDescent="0.3">
      <c r="A105" s="3">
        <v>44579</v>
      </c>
      <c r="B105" s="4">
        <v>18113.05</v>
      </c>
      <c r="C105" s="7">
        <v>103</v>
      </c>
      <c r="D105" s="5">
        <f t="shared" si="1"/>
        <v>-1.0710911914286183E-2</v>
      </c>
    </row>
    <row r="106" spans="1:4" x14ac:dyDescent="0.3">
      <c r="A106" s="3">
        <v>44580</v>
      </c>
      <c r="B106" s="4">
        <v>17938.400000000001</v>
      </c>
      <c r="C106" s="7">
        <v>104</v>
      </c>
      <c r="D106" s="5">
        <f t="shared" si="1"/>
        <v>-9.6890064780822838E-3</v>
      </c>
    </row>
    <row r="107" spans="1:4" x14ac:dyDescent="0.3">
      <c r="A107" s="3">
        <v>44581</v>
      </c>
      <c r="B107" s="4">
        <v>17757</v>
      </c>
      <c r="C107" s="7">
        <v>105</v>
      </c>
      <c r="D107" s="5">
        <f t="shared" si="1"/>
        <v>-1.0163862100486327E-2</v>
      </c>
    </row>
    <row r="108" spans="1:4" x14ac:dyDescent="0.3">
      <c r="A108" s="3">
        <v>44582</v>
      </c>
      <c r="B108" s="4">
        <v>17617.150000000001</v>
      </c>
      <c r="C108" s="7">
        <v>106</v>
      </c>
      <c r="D108" s="5">
        <f t="shared" si="1"/>
        <v>-7.9069449649056857E-3</v>
      </c>
    </row>
    <row r="109" spans="1:4" x14ac:dyDescent="0.3">
      <c r="A109" s="3">
        <v>44585</v>
      </c>
      <c r="B109" s="4">
        <v>17149.099999999999</v>
      </c>
      <c r="C109" s="7">
        <v>107</v>
      </c>
      <c r="D109" s="5">
        <f t="shared" si="1"/>
        <v>-2.6927165310979384E-2</v>
      </c>
    </row>
    <row r="110" spans="1:4" x14ac:dyDescent="0.3">
      <c r="A110" s="3">
        <v>44586</v>
      </c>
      <c r="B110" s="4">
        <v>17277.95</v>
      </c>
      <c r="C110" s="7">
        <v>108</v>
      </c>
      <c r="D110" s="5">
        <f t="shared" si="1"/>
        <v>7.4854279782373646E-3</v>
      </c>
    </row>
    <row r="111" spans="1:4" x14ac:dyDescent="0.3">
      <c r="A111" s="3">
        <v>44588</v>
      </c>
      <c r="B111" s="4">
        <v>17110.150000000001</v>
      </c>
      <c r="C111" s="7">
        <v>109</v>
      </c>
      <c r="D111" s="5">
        <f t="shared" si="1"/>
        <v>-9.7592674103367961E-3</v>
      </c>
    </row>
    <row r="112" spans="1:4" x14ac:dyDescent="0.3">
      <c r="A112" s="3">
        <v>44589</v>
      </c>
      <c r="B112" s="4">
        <v>17101.95</v>
      </c>
      <c r="C112" s="7">
        <v>110</v>
      </c>
      <c r="D112" s="5">
        <f t="shared" si="1"/>
        <v>-4.7936257388604811E-4</v>
      </c>
    </row>
    <row r="113" spans="1:4" x14ac:dyDescent="0.3">
      <c r="A113" s="3">
        <v>44592</v>
      </c>
      <c r="B113" s="4">
        <v>17339.849999999999</v>
      </c>
      <c r="C113" s="7">
        <v>111</v>
      </c>
      <c r="D113" s="5">
        <f t="shared" si="1"/>
        <v>1.3814828701121379E-2</v>
      </c>
    </row>
    <row r="114" spans="1:4" x14ac:dyDescent="0.3">
      <c r="A114" s="3">
        <v>44593</v>
      </c>
      <c r="B114" s="4">
        <v>17576.849999999999</v>
      </c>
      <c r="C114" s="7">
        <v>112</v>
      </c>
      <c r="D114" s="5">
        <f t="shared" si="1"/>
        <v>1.3575374518897244E-2</v>
      </c>
    </row>
    <row r="115" spans="1:4" x14ac:dyDescent="0.3">
      <c r="A115" s="3">
        <v>44594</v>
      </c>
      <c r="B115" s="4">
        <v>17780</v>
      </c>
      <c r="C115" s="7">
        <v>113</v>
      </c>
      <c r="D115" s="5">
        <f t="shared" si="1"/>
        <v>1.1491534770912802E-2</v>
      </c>
    </row>
    <row r="116" spans="1:4" x14ac:dyDescent="0.3">
      <c r="A116" s="3">
        <v>44595</v>
      </c>
      <c r="B116" s="4">
        <v>17560.2</v>
      </c>
      <c r="C116" s="7">
        <v>114</v>
      </c>
      <c r="D116" s="5">
        <f t="shared" si="1"/>
        <v>-1.2439252422007897E-2</v>
      </c>
    </row>
    <row r="117" spans="1:4" x14ac:dyDescent="0.3">
      <c r="A117" s="3">
        <v>44596</v>
      </c>
      <c r="B117" s="4">
        <v>17516.3</v>
      </c>
      <c r="C117" s="7">
        <v>115</v>
      </c>
      <c r="D117" s="5">
        <f t="shared" si="1"/>
        <v>-2.5031016732770949E-3</v>
      </c>
    </row>
    <row r="118" spans="1:4" x14ac:dyDescent="0.3">
      <c r="A118" s="3">
        <v>44599</v>
      </c>
      <c r="B118" s="4">
        <v>17213.599999999999</v>
      </c>
      <c r="C118" s="7">
        <v>116</v>
      </c>
      <c r="D118" s="5">
        <f t="shared" si="1"/>
        <v>-1.7432106933369305E-2</v>
      </c>
    </row>
    <row r="119" spans="1:4" x14ac:dyDescent="0.3">
      <c r="A119" s="3">
        <v>44600</v>
      </c>
      <c r="B119" s="4">
        <v>17266.75</v>
      </c>
      <c r="C119" s="7">
        <v>117</v>
      </c>
      <c r="D119" s="5">
        <f t="shared" si="1"/>
        <v>3.0829177834033228E-3</v>
      </c>
    </row>
    <row r="120" spans="1:4" x14ac:dyDescent="0.3">
      <c r="A120" s="3">
        <v>44601</v>
      </c>
      <c r="B120" s="4">
        <v>17463.8</v>
      </c>
      <c r="C120" s="7">
        <v>118</v>
      </c>
      <c r="D120" s="5">
        <f t="shared" si="1"/>
        <v>1.1347480211462859E-2</v>
      </c>
    </row>
    <row r="121" spans="1:4" x14ac:dyDescent="0.3">
      <c r="A121" s="3">
        <v>44602</v>
      </c>
      <c r="B121" s="4">
        <v>17605.849999999999</v>
      </c>
      <c r="C121" s="7">
        <v>119</v>
      </c>
      <c r="D121" s="5">
        <f t="shared" si="1"/>
        <v>8.1010661276622389E-3</v>
      </c>
    </row>
    <row r="122" spans="1:4" x14ac:dyDescent="0.3">
      <c r="A122" s="3">
        <v>44603</v>
      </c>
      <c r="B122" s="4">
        <v>17374.75</v>
      </c>
      <c r="C122" s="7">
        <v>120</v>
      </c>
      <c r="D122" s="5">
        <f t="shared" si="1"/>
        <v>-1.3213230321500876E-2</v>
      </c>
    </row>
    <row r="123" spans="1:4" x14ac:dyDescent="0.3">
      <c r="A123" s="3">
        <v>44606</v>
      </c>
      <c r="B123" s="4">
        <v>16842.8</v>
      </c>
      <c r="C123" s="7">
        <v>121</v>
      </c>
      <c r="D123" s="5">
        <f t="shared" si="1"/>
        <v>-3.1094737081558063E-2</v>
      </c>
    </row>
    <row r="124" spans="1:4" x14ac:dyDescent="0.3">
      <c r="A124" s="3">
        <v>44607</v>
      </c>
      <c r="B124" s="4">
        <v>17352.45</v>
      </c>
      <c r="C124" s="7">
        <v>122</v>
      </c>
      <c r="D124" s="5">
        <f t="shared" si="1"/>
        <v>2.9810441021687707E-2</v>
      </c>
    </row>
    <row r="125" spans="1:4" x14ac:dyDescent="0.3">
      <c r="A125" s="3">
        <v>44608</v>
      </c>
      <c r="B125" s="4">
        <v>17322.2</v>
      </c>
      <c r="C125" s="7">
        <v>123</v>
      </c>
      <c r="D125" s="5">
        <f t="shared" si="1"/>
        <v>-1.7447909452098886E-3</v>
      </c>
    </row>
    <row r="126" spans="1:4" x14ac:dyDescent="0.3">
      <c r="A126" s="3">
        <v>44609</v>
      </c>
      <c r="B126" s="4">
        <v>17304.599999999999</v>
      </c>
      <c r="C126" s="7">
        <v>124</v>
      </c>
      <c r="D126" s="5">
        <f t="shared" si="1"/>
        <v>-1.0165537396252585E-3</v>
      </c>
    </row>
    <row r="127" spans="1:4" x14ac:dyDescent="0.3">
      <c r="A127" s="3">
        <v>44610</v>
      </c>
      <c r="B127" s="4">
        <v>17276.3</v>
      </c>
      <c r="C127" s="7">
        <v>125</v>
      </c>
      <c r="D127" s="5">
        <f t="shared" si="1"/>
        <v>-1.6367420349265715E-3</v>
      </c>
    </row>
    <row r="128" spans="1:4" x14ac:dyDescent="0.3">
      <c r="A128" s="3">
        <v>44613</v>
      </c>
      <c r="B128" s="4">
        <v>17206.650000000001</v>
      </c>
      <c r="C128" s="7">
        <v>126</v>
      </c>
      <c r="D128" s="5">
        <f t="shared" si="1"/>
        <v>-4.0396830734258891E-3</v>
      </c>
    </row>
    <row r="129" spans="1:4" x14ac:dyDescent="0.3">
      <c r="A129" s="3">
        <v>44614</v>
      </c>
      <c r="B129" s="4">
        <v>17092.2</v>
      </c>
      <c r="C129" s="7">
        <v>127</v>
      </c>
      <c r="D129" s="5">
        <f t="shared" si="1"/>
        <v>-6.6737179109929989E-3</v>
      </c>
    </row>
    <row r="130" spans="1:4" x14ac:dyDescent="0.3">
      <c r="A130" s="3">
        <v>44615</v>
      </c>
      <c r="B130" s="4">
        <v>17063.25</v>
      </c>
      <c r="C130" s="7">
        <v>128</v>
      </c>
      <c r="D130" s="5">
        <f t="shared" si="1"/>
        <v>-1.6951910709848976E-3</v>
      </c>
    </row>
    <row r="131" spans="1:4" x14ac:dyDescent="0.3">
      <c r="A131" s="3">
        <v>44616</v>
      </c>
      <c r="B131" s="4">
        <v>16247.95</v>
      </c>
      <c r="C131" s="7">
        <v>129</v>
      </c>
      <c r="D131" s="5">
        <f t="shared" ref="D131:D194" si="2">LN(B131/B130)</f>
        <v>-4.8960281051569063E-2</v>
      </c>
    </row>
    <row r="132" spans="1:4" x14ac:dyDescent="0.3">
      <c r="A132" s="3">
        <v>44617</v>
      </c>
      <c r="B132" s="4">
        <v>16658.400000000001</v>
      </c>
      <c r="C132" s="7">
        <v>130</v>
      </c>
      <c r="D132" s="5">
        <f t="shared" si="2"/>
        <v>2.4947846739819746E-2</v>
      </c>
    </row>
    <row r="133" spans="1:4" x14ac:dyDescent="0.3">
      <c r="A133" s="3">
        <v>44620</v>
      </c>
      <c r="B133" s="4">
        <v>16793.900000000001</v>
      </c>
      <c r="C133" s="7">
        <v>131</v>
      </c>
      <c r="D133" s="5">
        <f t="shared" si="2"/>
        <v>8.101131524734604E-3</v>
      </c>
    </row>
    <row r="134" spans="1:4" x14ac:dyDescent="0.3">
      <c r="A134" s="3">
        <v>44622</v>
      </c>
      <c r="B134" s="4">
        <v>16605.95</v>
      </c>
      <c r="C134" s="7">
        <v>132</v>
      </c>
      <c r="D134" s="5">
        <f t="shared" si="2"/>
        <v>-1.1254660360669237E-2</v>
      </c>
    </row>
    <row r="135" spans="1:4" x14ac:dyDescent="0.3">
      <c r="A135" s="3">
        <v>44623</v>
      </c>
      <c r="B135" s="4">
        <v>16498.05</v>
      </c>
      <c r="C135" s="7">
        <v>133</v>
      </c>
      <c r="D135" s="5">
        <f t="shared" si="2"/>
        <v>-6.5188727710802086E-3</v>
      </c>
    </row>
    <row r="136" spans="1:4" x14ac:dyDescent="0.3">
      <c r="A136" s="3">
        <v>44624</v>
      </c>
      <c r="B136" s="4">
        <v>16245.35</v>
      </c>
      <c r="C136" s="7">
        <v>134</v>
      </c>
      <c r="D136" s="5">
        <f t="shared" si="2"/>
        <v>-1.5435478124563093E-2</v>
      </c>
    </row>
    <row r="137" spans="1:4" x14ac:dyDescent="0.3">
      <c r="A137" s="3">
        <v>44627</v>
      </c>
      <c r="B137" s="4">
        <v>15863.15</v>
      </c>
      <c r="C137" s="7">
        <v>135</v>
      </c>
      <c r="D137" s="5">
        <f t="shared" si="2"/>
        <v>-2.3807904631442889E-2</v>
      </c>
    </row>
    <row r="138" spans="1:4" x14ac:dyDescent="0.3">
      <c r="A138" s="3">
        <v>44628</v>
      </c>
      <c r="B138" s="4">
        <v>16013.45</v>
      </c>
      <c r="C138" s="7">
        <v>136</v>
      </c>
      <c r="D138" s="5">
        <f t="shared" si="2"/>
        <v>9.4301847641446827E-3</v>
      </c>
    </row>
    <row r="139" spans="1:4" x14ac:dyDescent="0.3">
      <c r="A139" s="3">
        <v>44629</v>
      </c>
      <c r="B139" s="4">
        <v>16345.35</v>
      </c>
      <c r="C139" s="7">
        <v>137</v>
      </c>
      <c r="D139" s="5">
        <f t="shared" si="2"/>
        <v>2.0514459110673795E-2</v>
      </c>
    </row>
    <row r="140" spans="1:4" x14ac:dyDescent="0.3">
      <c r="A140" s="3">
        <v>44630</v>
      </c>
      <c r="B140" s="4">
        <v>16594.900000000001</v>
      </c>
      <c r="C140" s="7">
        <v>138</v>
      </c>
      <c r="D140" s="5">
        <f t="shared" si="2"/>
        <v>1.5151966019218735E-2</v>
      </c>
    </row>
    <row r="141" spans="1:4" x14ac:dyDescent="0.3">
      <c r="A141" s="3">
        <v>44631</v>
      </c>
      <c r="B141" s="4">
        <v>16630.45</v>
      </c>
      <c r="C141" s="7">
        <v>139</v>
      </c>
      <c r="D141" s="5">
        <f t="shared" si="2"/>
        <v>2.1399331273389121E-3</v>
      </c>
    </row>
    <row r="142" spans="1:4" x14ac:dyDescent="0.3">
      <c r="A142" s="3">
        <v>44634</v>
      </c>
      <c r="B142" s="4">
        <v>16871.3</v>
      </c>
      <c r="C142" s="7">
        <v>140</v>
      </c>
      <c r="D142" s="5">
        <f t="shared" si="2"/>
        <v>1.4378601088806696E-2</v>
      </c>
    </row>
    <row r="143" spans="1:4" x14ac:dyDescent="0.3">
      <c r="A143" s="3">
        <v>44635</v>
      </c>
      <c r="B143" s="4">
        <v>16663</v>
      </c>
      <c r="C143" s="7">
        <v>141</v>
      </c>
      <c r="D143" s="5">
        <f t="shared" si="2"/>
        <v>-1.2423260902022252E-2</v>
      </c>
    </row>
    <row r="144" spans="1:4" x14ac:dyDescent="0.3">
      <c r="A144" s="3">
        <v>44636</v>
      </c>
      <c r="B144" s="4">
        <v>16975.349999999999</v>
      </c>
      <c r="C144" s="7">
        <v>142</v>
      </c>
      <c r="D144" s="5">
        <f t="shared" si="2"/>
        <v>1.8571599232414908E-2</v>
      </c>
    </row>
    <row r="145" spans="1:4" x14ac:dyDescent="0.3">
      <c r="A145" s="3">
        <v>44637</v>
      </c>
      <c r="B145" s="4">
        <v>17287.05</v>
      </c>
      <c r="C145" s="7">
        <v>143</v>
      </c>
      <c r="D145" s="5">
        <f t="shared" si="2"/>
        <v>1.8195374494415762E-2</v>
      </c>
    </row>
    <row r="146" spans="1:4" x14ac:dyDescent="0.3">
      <c r="A146" s="3">
        <v>44641</v>
      </c>
      <c r="B146" s="4">
        <v>17117.599999999999</v>
      </c>
      <c r="C146" s="7">
        <v>144</v>
      </c>
      <c r="D146" s="5">
        <f t="shared" si="2"/>
        <v>-9.850492312713139E-3</v>
      </c>
    </row>
    <row r="147" spans="1:4" x14ac:dyDescent="0.3">
      <c r="A147" s="3">
        <v>44642</v>
      </c>
      <c r="B147" s="4">
        <v>17315.5</v>
      </c>
      <c r="C147" s="7">
        <v>145</v>
      </c>
      <c r="D147" s="5">
        <f t="shared" si="2"/>
        <v>1.1494880163363386E-2</v>
      </c>
    </row>
    <row r="148" spans="1:4" x14ac:dyDescent="0.3">
      <c r="A148" s="3">
        <v>44643</v>
      </c>
      <c r="B148" s="4">
        <v>17245.650000000001</v>
      </c>
      <c r="C148" s="7">
        <v>146</v>
      </c>
      <c r="D148" s="5">
        <f t="shared" si="2"/>
        <v>-4.0421163708296457E-3</v>
      </c>
    </row>
    <row r="149" spans="1:4" x14ac:dyDescent="0.3">
      <c r="A149" s="3">
        <v>44644</v>
      </c>
      <c r="B149" s="4">
        <v>17222.75</v>
      </c>
      <c r="C149" s="7">
        <v>147</v>
      </c>
      <c r="D149" s="5">
        <f t="shared" si="2"/>
        <v>-1.3287534883735959E-3</v>
      </c>
    </row>
    <row r="150" spans="1:4" x14ac:dyDescent="0.3">
      <c r="A150" s="3">
        <v>44645</v>
      </c>
      <c r="B150" s="4">
        <v>17153</v>
      </c>
      <c r="C150" s="7">
        <v>148</v>
      </c>
      <c r="D150" s="5">
        <f t="shared" si="2"/>
        <v>-4.0580988470762082E-3</v>
      </c>
    </row>
    <row r="151" spans="1:4" x14ac:dyDescent="0.3">
      <c r="A151" s="3">
        <v>44648</v>
      </c>
      <c r="B151" s="4">
        <v>17222</v>
      </c>
      <c r="C151" s="7">
        <v>149</v>
      </c>
      <c r="D151" s="5">
        <f t="shared" si="2"/>
        <v>4.0145508462854406E-3</v>
      </c>
    </row>
    <row r="152" spans="1:4" x14ac:dyDescent="0.3">
      <c r="A152" s="3">
        <v>44649</v>
      </c>
      <c r="B152" s="4">
        <v>17325.3</v>
      </c>
      <c r="C152" s="7">
        <v>150</v>
      </c>
      <c r="D152" s="5">
        <f t="shared" si="2"/>
        <v>5.9802246693889541E-3</v>
      </c>
    </row>
    <row r="153" spans="1:4" x14ac:dyDescent="0.3">
      <c r="A153" s="3">
        <v>44650</v>
      </c>
      <c r="B153" s="4">
        <v>17498.25</v>
      </c>
      <c r="C153" s="7">
        <v>151</v>
      </c>
      <c r="D153" s="5">
        <f t="shared" si="2"/>
        <v>9.9330149857725092E-3</v>
      </c>
    </row>
    <row r="154" spans="1:4" x14ac:dyDescent="0.3">
      <c r="A154" s="3">
        <v>44651</v>
      </c>
      <c r="B154" s="4">
        <v>17464.75</v>
      </c>
      <c r="C154" s="7">
        <v>152</v>
      </c>
      <c r="D154" s="5">
        <f t="shared" si="2"/>
        <v>-1.916312115762529E-3</v>
      </c>
    </row>
    <row r="155" spans="1:4" x14ac:dyDescent="0.3">
      <c r="A155" s="3">
        <v>44652</v>
      </c>
      <c r="B155" s="4">
        <v>17670.45</v>
      </c>
      <c r="C155" s="7">
        <v>153</v>
      </c>
      <c r="D155" s="5">
        <f t="shared" si="2"/>
        <v>1.1709189086995933E-2</v>
      </c>
    </row>
    <row r="156" spans="1:4" x14ac:dyDescent="0.3">
      <c r="A156" s="3">
        <v>44655</v>
      </c>
      <c r="B156" s="4">
        <v>18053.400000000001</v>
      </c>
      <c r="C156" s="7">
        <v>154</v>
      </c>
      <c r="D156" s="5">
        <f t="shared" si="2"/>
        <v>2.144027979090949E-2</v>
      </c>
    </row>
    <row r="157" spans="1:4" x14ac:dyDescent="0.3">
      <c r="A157" s="3">
        <v>44656</v>
      </c>
      <c r="B157" s="4">
        <v>17957.400000000001</v>
      </c>
      <c r="C157" s="7">
        <v>155</v>
      </c>
      <c r="D157" s="5">
        <f t="shared" si="2"/>
        <v>-5.3317464438475612E-3</v>
      </c>
    </row>
    <row r="158" spans="1:4" x14ac:dyDescent="0.3">
      <c r="A158" s="3">
        <v>44657</v>
      </c>
      <c r="B158" s="4">
        <v>17807.650000000001</v>
      </c>
      <c r="C158" s="7">
        <v>156</v>
      </c>
      <c r="D158" s="5">
        <f t="shared" si="2"/>
        <v>-8.3741459954355391E-3</v>
      </c>
    </row>
    <row r="159" spans="1:4" x14ac:dyDescent="0.3">
      <c r="A159" s="3">
        <v>44658</v>
      </c>
      <c r="B159" s="4">
        <v>17639.55</v>
      </c>
      <c r="C159" s="7">
        <v>157</v>
      </c>
      <c r="D159" s="5">
        <f t="shared" si="2"/>
        <v>-9.4846002028219235E-3</v>
      </c>
    </row>
    <row r="160" spans="1:4" x14ac:dyDescent="0.3">
      <c r="A160" s="3">
        <v>44659</v>
      </c>
      <c r="B160" s="4">
        <v>17784.349999999999</v>
      </c>
      <c r="C160" s="7">
        <v>158</v>
      </c>
      <c r="D160" s="5">
        <f t="shared" si="2"/>
        <v>8.1753170308477494E-3</v>
      </c>
    </row>
    <row r="161" spans="1:4" x14ac:dyDescent="0.3">
      <c r="A161" s="3">
        <v>44662</v>
      </c>
      <c r="B161" s="4">
        <v>17674.95</v>
      </c>
      <c r="C161" s="7">
        <v>159</v>
      </c>
      <c r="D161" s="5">
        <f t="shared" si="2"/>
        <v>-6.1704741556992595E-3</v>
      </c>
    </row>
    <row r="162" spans="1:4" x14ac:dyDescent="0.3">
      <c r="A162" s="3">
        <v>44663</v>
      </c>
      <c r="B162" s="4">
        <v>17530.3</v>
      </c>
      <c r="C162" s="7">
        <v>160</v>
      </c>
      <c r="D162" s="5">
        <f t="shared" si="2"/>
        <v>-8.217570617932296E-3</v>
      </c>
    </row>
    <row r="163" spans="1:4" x14ac:dyDescent="0.3">
      <c r="A163" s="3">
        <v>44664</v>
      </c>
      <c r="B163" s="4">
        <v>17475.650000000001</v>
      </c>
      <c r="C163" s="7">
        <v>161</v>
      </c>
      <c r="D163" s="5">
        <f t="shared" si="2"/>
        <v>-3.1223288839913239E-3</v>
      </c>
    </row>
    <row r="164" spans="1:4" x14ac:dyDescent="0.3">
      <c r="A164" s="3">
        <v>44669</v>
      </c>
      <c r="B164" s="4">
        <v>17173.650000000001</v>
      </c>
      <c r="C164" s="7">
        <v>162</v>
      </c>
      <c r="D164" s="5">
        <f t="shared" si="2"/>
        <v>-1.7432251023419793E-2</v>
      </c>
    </row>
    <row r="165" spans="1:4" x14ac:dyDescent="0.3">
      <c r="A165" s="3">
        <v>44670</v>
      </c>
      <c r="B165" s="4">
        <v>16958.650000000001</v>
      </c>
      <c r="C165" s="7">
        <v>163</v>
      </c>
      <c r="D165" s="5">
        <f t="shared" si="2"/>
        <v>-1.2598204259997624E-2</v>
      </c>
    </row>
    <row r="166" spans="1:4" x14ac:dyDescent="0.3">
      <c r="A166" s="3">
        <v>44671</v>
      </c>
      <c r="B166" s="4">
        <v>17136.55</v>
      </c>
      <c r="C166" s="7">
        <v>164</v>
      </c>
      <c r="D166" s="5">
        <f t="shared" si="2"/>
        <v>1.0435581223143465E-2</v>
      </c>
    </row>
    <row r="167" spans="1:4" x14ac:dyDescent="0.3">
      <c r="A167" s="3">
        <v>44672</v>
      </c>
      <c r="B167" s="4">
        <v>17392.599999999999</v>
      </c>
      <c r="C167" s="7">
        <v>165</v>
      </c>
      <c r="D167" s="5">
        <f t="shared" si="2"/>
        <v>1.4831219041721086E-2</v>
      </c>
    </row>
    <row r="168" spans="1:4" x14ac:dyDescent="0.3">
      <c r="A168" s="3">
        <v>44673</v>
      </c>
      <c r="B168" s="4">
        <v>17171.95</v>
      </c>
      <c r="C168" s="7">
        <v>166</v>
      </c>
      <c r="D168" s="5">
        <f t="shared" si="2"/>
        <v>-1.2767589762518079E-2</v>
      </c>
    </row>
    <row r="169" spans="1:4" x14ac:dyDescent="0.3">
      <c r="A169" s="3">
        <v>44676</v>
      </c>
      <c r="B169" s="4">
        <v>16953.95</v>
      </c>
      <c r="C169" s="7">
        <v>167</v>
      </c>
      <c r="D169" s="5">
        <f t="shared" si="2"/>
        <v>-1.2776393616003143E-2</v>
      </c>
    </row>
    <row r="170" spans="1:4" x14ac:dyDescent="0.3">
      <c r="A170" s="3">
        <v>44677</v>
      </c>
      <c r="B170" s="4">
        <v>17200.8</v>
      </c>
      <c r="C170" s="7">
        <v>168</v>
      </c>
      <c r="D170" s="5">
        <f t="shared" si="2"/>
        <v>1.4455049340358107E-2</v>
      </c>
    </row>
    <row r="171" spans="1:4" x14ac:dyDescent="0.3">
      <c r="A171" s="3">
        <v>44678</v>
      </c>
      <c r="B171" s="4">
        <v>17038.400000000001</v>
      </c>
      <c r="C171" s="7">
        <v>169</v>
      </c>
      <c r="D171" s="5">
        <f t="shared" si="2"/>
        <v>-9.4862740866997596E-3</v>
      </c>
    </row>
    <row r="172" spans="1:4" x14ac:dyDescent="0.3">
      <c r="A172" s="3">
        <v>44679</v>
      </c>
      <c r="B172" s="4">
        <v>17245.05</v>
      </c>
      <c r="C172" s="7">
        <v>170</v>
      </c>
      <c r="D172" s="5">
        <f t="shared" si="2"/>
        <v>1.2055525496746364E-2</v>
      </c>
    </row>
    <row r="173" spans="1:4" x14ac:dyDescent="0.3">
      <c r="A173" s="3">
        <v>44680</v>
      </c>
      <c r="B173" s="4">
        <v>17102.55</v>
      </c>
      <c r="C173" s="7">
        <v>171</v>
      </c>
      <c r="D173" s="5">
        <f t="shared" si="2"/>
        <v>-8.297570577797668E-3</v>
      </c>
    </row>
    <row r="174" spans="1:4" x14ac:dyDescent="0.3">
      <c r="A174" s="3">
        <v>44683</v>
      </c>
      <c r="B174" s="4">
        <v>17069.099999999999</v>
      </c>
      <c r="C174" s="7">
        <v>172</v>
      </c>
      <c r="D174" s="5">
        <f t="shared" si="2"/>
        <v>-1.957763858873641E-3</v>
      </c>
    </row>
    <row r="175" spans="1:4" x14ac:dyDescent="0.3">
      <c r="A175" s="3">
        <v>44685</v>
      </c>
      <c r="B175" s="4">
        <v>16677.599999999999</v>
      </c>
      <c r="C175" s="7">
        <v>173</v>
      </c>
      <c r="D175" s="5">
        <f t="shared" si="2"/>
        <v>-2.3203309652967317E-2</v>
      </c>
    </row>
    <row r="176" spans="1:4" x14ac:dyDescent="0.3">
      <c r="A176" s="3">
        <v>44686</v>
      </c>
      <c r="B176" s="4">
        <v>16682.650000000001</v>
      </c>
      <c r="C176" s="7">
        <v>174</v>
      </c>
      <c r="D176" s="5">
        <f t="shared" si="2"/>
        <v>3.0275552722641301E-4</v>
      </c>
    </row>
    <row r="177" spans="1:4" x14ac:dyDescent="0.3">
      <c r="A177" s="3">
        <v>44687</v>
      </c>
      <c r="B177" s="4">
        <v>16411.25</v>
      </c>
      <c r="C177" s="7">
        <v>175</v>
      </c>
      <c r="D177" s="5">
        <f t="shared" si="2"/>
        <v>-1.6402181947133422E-2</v>
      </c>
    </row>
    <row r="178" spans="1:4" x14ac:dyDescent="0.3">
      <c r="A178" s="3">
        <v>44690</v>
      </c>
      <c r="B178" s="4">
        <v>16301.85</v>
      </c>
      <c r="C178" s="7">
        <v>176</v>
      </c>
      <c r="D178" s="5">
        <f t="shared" si="2"/>
        <v>-6.688476961240644E-3</v>
      </c>
    </row>
    <row r="179" spans="1:4" x14ac:dyDescent="0.3">
      <c r="A179" s="3">
        <v>44691</v>
      </c>
      <c r="B179" s="4">
        <v>16240.05</v>
      </c>
      <c r="C179" s="7">
        <v>177</v>
      </c>
      <c r="D179" s="5">
        <f t="shared" si="2"/>
        <v>-3.798184758416227E-3</v>
      </c>
    </row>
    <row r="180" spans="1:4" x14ac:dyDescent="0.3">
      <c r="A180" s="3">
        <v>44692</v>
      </c>
      <c r="B180" s="4">
        <v>16167.1</v>
      </c>
      <c r="C180" s="7">
        <v>178</v>
      </c>
      <c r="D180" s="5">
        <f t="shared" si="2"/>
        <v>-4.5021005067112096E-3</v>
      </c>
    </row>
    <row r="181" spans="1:4" x14ac:dyDescent="0.3">
      <c r="A181" s="3">
        <v>44693</v>
      </c>
      <c r="B181" s="4">
        <v>15808</v>
      </c>
      <c r="C181" s="7">
        <v>179</v>
      </c>
      <c r="D181" s="5">
        <f t="shared" si="2"/>
        <v>-2.2462172034303025E-2</v>
      </c>
    </row>
    <row r="182" spans="1:4" x14ac:dyDescent="0.3">
      <c r="A182" s="3">
        <v>44694</v>
      </c>
      <c r="B182" s="4">
        <v>15782.15</v>
      </c>
      <c r="C182" s="7">
        <v>180</v>
      </c>
      <c r="D182" s="5">
        <f t="shared" si="2"/>
        <v>-1.6365864530401846E-3</v>
      </c>
    </row>
    <row r="183" spans="1:4" x14ac:dyDescent="0.3">
      <c r="A183" s="3">
        <v>44697</v>
      </c>
      <c r="B183" s="4">
        <v>15842.3</v>
      </c>
      <c r="C183" s="7">
        <v>181</v>
      </c>
      <c r="D183" s="5">
        <f t="shared" si="2"/>
        <v>3.8040233132169052E-3</v>
      </c>
    </row>
    <row r="184" spans="1:4" x14ac:dyDescent="0.3">
      <c r="A184" s="3">
        <v>44698</v>
      </c>
      <c r="B184" s="4">
        <v>16259.3</v>
      </c>
      <c r="C184" s="7">
        <v>182</v>
      </c>
      <c r="D184" s="5">
        <f t="shared" si="2"/>
        <v>2.5981474896775072E-2</v>
      </c>
    </row>
    <row r="185" spans="1:4" x14ac:dyDescent="0.3">
      <c r="A185" s="3">
        <v>44699</v>
      </c>
      <c r="B185" s="4">
        <v>16240.3</v>
      </c>
      <c r="C185" s="7">
        <v>183</v>
      </c>
      <c r="D185" s="5">
        <f t="shared" si="2"/>
        <v>-1.1692452931500745E-3</v>
      </c>
    </row>
    <row r="186" spans="1:4" x14ac:dyDescent="0.3">
      <c r="A186" s="3">
        <v>44700</v>
      </c>
      <c r="B186" s="4">
        <v>15809.4</v>
      </c>
      <c r="C186" s="7">
        <v>184</v>
      </c>
      <c r="D186" s="5">
        <f t="shared" si="2"/>
        <v>-2.689110763221448E-2</v>
      </c>
    </row>
    <row r="187" spans="1:4" x14ac:dyDescent="0.3">
      <c r="A187" s="3">
        <v>44701</v>
      </c>
      <c r="B187" s="4">
        <v>16266.15</v>
      </c>
      <c r="C187" s="7">
        <v>185</v>
      </c>
      <c r="D187" s="5">
        <f t="shared" si="2"/>
        <v>2.8481561554378136E-2</v>
      </c>
    </row>
    <row r="188" spans="1:4" x14ac:dyDescent="0.3">
      <c r="A188" s="3">
        <v>44704</v>
      </c>
      <c r="B188" s="4">
        <v>16214.7</v>
      </c>
      <c r="C188" s="7">
        <v>186</v>
      </c>
      <c r="D188" s="5">
        <f t="shared" si="2"/>
        <v>-3.168023190952943E-3</v>
      </c>
    </row>
    <row r="189" spans="1:4" x14ac:dyDescent="0.3">
      <c r="A189" s="3">
        <v>44705</v>
      </c>
      <c r="B189" s="4">
        <v>16125.15</v>
      </c>
      <c r="C189" s="7">
        <v>187</v>
      </c>
      <c r="D189" s="5">
        <f t="shared" si="2"/>
        <v>-5.5380732363732666E-3</v>
      </c>
    </row>
    <row r="190" spans="1:4" x14ac:dyDescent="0.3">
      <c r="A190" s="3">
        <v>44706</v>
      </c>
      <c r="B190" s="4">
        <v>16025.8</v>
      </c>
      <c r="C190" s="7">
        <v>188</v>
      </c>
      <c r="D190" s="5">
        <f t="shared" si="2"/>
        <v>-6.1802414065991011E-3</v>
      </c>
    </row>
    <row r="191" spans="1:4" x14ac:dyDescent="0.3">
      <c r="A191" s="3">
        <v>44707</v>
      </c>
      <c r="B191" s="4">
        <v>16170.15</v>
      </c>
      <c r="C191" s="7">
        <v>189</v>
      </c>
      <c r="D191" s="5">
        <f t="shared" si="2"/>
        <v>8.9670264262852635E-3</v>
      </c>
    </row>
    <row r="192" spans="1:4" x14ac:dyDescent="0.3">
      <c r="A192" s="3">
        <v>44708</v>
      </c>
      <c r="B192" s="4">
        <v>16352.45</v>
      </c>
      <c r="C192" s="7">
        <v>190</v>
      </c>
      <c r="D192" s="5">
        <f t="shared" si="2"/>
        <v>1.1210783228271726E-2</v>
      </c>
    </row>
    <row r="193" spans="1:4" x14ac:dyDescent="0.3">
      <c r="A193" s="3">
        <v>44711</v>
      </c>
      <c r="B193" s="4">
        <v>16661.400000000001</v>
      </c>
      <c r="C193" s="7">
        <v>191</v>
      </c>
      <c r="D193" s="5">
        <f t="shared" si="2"/>
        <v>1.8716933609406666E-2</v>
      </c>
    </row>
    <row r="194" spans="1:4" x14ac:dyDescent="0.3">
      <c r="A194" s="3">
        <v>44712</v>
      </c>
      <c r="B194" s="4">
        <v>16584.55</v>
      </c>
      <c r="C194" s="7">
        <v>192</v>
      </c>
      <c r="D194" s="5">
        <f t="shared" si="2"/>
        <v>-4.6231277420674408E-3</v>
      </c>
    </row>
    <row r="195" spans="1:4" x14ac:dyDescent="0.3">
      <c r="A195" s="3">
        <v>44713</v>
      </c>
      <c r="B195" s="4">
        <v>16522.75</v>
      </c>
      <c r="C195" s="7">
        <v>193</v>
      </c>
      <c r="D195" s="5">
        <f t="shared" ref="D195:D258" si="3">LN(B195/B194)</f>
        <v>-3.7333199493177205E-3</v>
      </c>
    </row>
    <row r="196" spans="1:4" x14ac:dyDescent="0.3">
      <c r="A196" s="3">
        <v>44714</v>
      </c>
      <c r="B196" s="4">
        <v>16628</v>
      </c>
      <c r="C196" s="7">
        <v>194</v>
      </c>
      <c r="D196" s="5">
        <f t="shared" si="3"/>
        <v>6.3498022602603054E-3</v>
      </c>
    </row>
    <row r="197" spans="1:4" x14ac:dyDescent="0.3">
      <c r="A197" s="3">
        <v>44715</v>
      </c>
      <c r="B197" s="4">
        <v>16584.3</v>
      </c>
      <c r="C197" s="7">
        <v>195</v>
      </c>
      <c r="D197" s="5">
        <f t="shared" si="3"/>
        <v>-2.6315566954934781E-3</v>
      </c>
    </row>
    <row r="198" spans="1:4" x14ac:dyDescent="0.3">
      <c r="A198" s="3">
        <v>44718</v>
      </c>
      <c r="B198" s="4">
        <v>16569.55</v>
      </c>
      <c r="C198" s="7">
        <v>196</v>
      </c>
      <c r="D198" s="5">
        <f t="shared" si="3"/>
        <v>-8.8979113877667301E-4</v>
      </c>
    </row>
    <row r="199" spans="1:4" x14ac:dyDescent="0.3">
      <c r="A199" s="3">
        <v>44719</v>
      </c>
      <c r="B199" s="4">
        <v>16416.349999999999</v>
      </c>
      <c r="C199" s="7">
        <v>197</v>
      </c>
      <c r="D199" s="5">
        <f t="shared" si="3"/>
        <v>-9.2888841322758733E-3</v>
      </c>
    </row>
    <row r="200" spans="1:4" x14ac:dyDescent="0.3">
      <c r="A200" s="3">
        <v>44720</v>
      </c>
      <c r="B200" s="4">
        <v>16356.25</v>
      </c>
      <c r="C200" s="7">
        <v>198</v>
      </c>
      <c r="D200" s="5">
        <f t="shared" si="3"/>
        <v>-3.6677021275259834E-3</v>
      </c>
    </row>
    <row r="201" spans="1:4" x14ac:dyDescent="0.3">
      <c r="A201" s="3">
        <v>44721</v>
      </c>
      <c r="B201" s="4">
        <v>16478.099999999999</v>
      </c>
      <c r="C201" s="7">
        <v>199</v>
      </c>
      <c r="D201" s="5">
        <f t="shared" si="3"/>
        <v>7.4221392763222718E-3</v>
      </c>
    </row>
    <row r="202" spans="1:4" x14ac:dyDescent="0.3">
      <c r="A202" s="3">
        <v>44722</v>
      </c>
      <c r="B202" s="4">
        <v>16201.8</v>
      </c>
      <c r="C202" s="7">
        <v>200</v>
      </c>
      <c r="D202" s="5">
        <f t="shared" si="3"/>
        <v>-1.6909879395574055E-2</v>
      </c>
    </row>
    <row r="203" spans="1:4" x14ac:dyDescent="0.3">
      <c r="A203" s="3">
        <v>44725</v>
      </c>
      <c r="B203" s="4">
        <v>15774.4</v>
      </c>
      <c r="C203" s="7">
        <v>201</v>
      </c>
      <c r="D203" s="5">
        <f t="shared" si="3"/>
        <v>-2.6733974338427311E-2</v>
      </c>
    </row>
    <row r="204" spans="1:4" x14ac:dyDescent="0.3">
      <c r="A204" s="3">
        <v>44726</v>
      </c>
      <c r="B204" s="4">
        <v>15732.1</v>
      </c>
      <c r="C204" s="7">
        <v>202</v>
      </c>
      <c r="D204" s="5">
        <f t="shared" si="3"/>
        <v>-2.6851618183916293E-3</v>
      </c>
    </row>
    <row r="205" spans="1:4" x14ac:dyDescent="0.3">
      <c r="A205" s="3">
        <v>44727</v>
      </c>
      <c r="B205" s="4">
        <v>15692.15</v>
      </c>
      <c r="C205" s="7">
        <v>203</v>
      </c>
      <c r="D205" s="5">
        <f t="shared" si="3"/>
        <v>-2.5426237076681558E-3</v>
      </c>
    </row>
    <row r="206" spans="1:4" x14ac:dyDescent="0.3">
      <c r="A206" s="3">
        <v>44728</v>
      </c>
      <c r="B206" s="4">
        <v>15360.6</v>
      </c>
      <c r="C206" s="7">
        <v>204</v>
      </c>
      <c r="D206" s="5">
        <f t="shared" si="3"/>
        <v>-2.135479785597345E-2</v>
      </c>
    </row>
    <row r="207" spans="1:4" x14ac:dyDescent="0.3">
      <c r="A207" s="3">
        <v>44729</v>
      </c>
      <c r="B207" s="4">
        <v>15293.5</v>
      </c>
      <c r="C207" s="7">
        <v>205</v>
      </c>
      <c r="D207" s="5">
        <f t="shared" si="3"/>
        <v>-4.3778879281600415E-3</v>
      </c>
    </row>
    <row r="208" spans="1:4" x14ac:dyDescent="0.3">
      <c r="A208" s="3">
        <v>44732</v>
      </c>
      <c r="B208" s="4">
        <v>15350.15</v>
      </c>
      <c r="C208" s="7">
        <v>206</v>
      </c>
      <c r="D208" s="5">
        <f t="shared" si="3"/>
        <v>3.6973444439847482E-3</v>
      </c>
    </row>
    <row r="209" spans="1:4" x14ac:dyDescent="0.3">
      <c r="A209" s="3">
        <v>44733</v>
      </c>
      <c r="B209" s="4">
        <v>15638.8</v>
      </c>
      <c r="C209" s="7">
        <v>207</v>
      </c>
      <c r="D209" s="5">
        <f t="shared" si="3"/>
        <v>1.86297598584063E-2</v>
      </c>
    </row>
    <row r="210" spans="1:4" x14ac:dyDescent="0.3">
      <c r="A210" s="3">
        <v>44734</v>
      </c>
      <c r="B210" s="4">
        <v>15413.3</v>
      </c>
      <c r="C210" s="7">
        <v>208</v>
      </c>
      <c r="D210" s="5">
        <f t="shared" si="3"/>
        <v>-1.4524232766921568E-2</v>
      </c>
    </row>
    <row r="211" spans="1:4" x14ac:dyDescent="0.3">
      <c r="A211" s="3">
        <v>44735</v>
      </c>
      <c r="B211" s="4">
        <v>15556.65</v>
      </c>
      <c r="C211" s="7">
        <v>209</v>
      </c>
      <c r="D211" s="5">
        <f t="shared" si="3"/>
        <v>9.2574268770784281E-3</v>
      </c>
    </row>
    <row r="212" spans="1:4" x14ac:dyDescent="0.3">
      <c r="A212" s="3">
        <v>44736</v>
      </c>
      <c r="B212" s="4">
        <v>15699.25</v>
      </c>
      <c r="C212" s="7">
        <v>210</v>
      </c>
      <c r="D212" s="5">
        <f t="shared" si="3"/>
        <v>9.1247405715748336E-3</v>
      </c>
    </row>
    <row r="213" spans="1:4" x14ac:dyDescent="0.3">
      <c r="A213" s="3">
        <v>44739</v>
      </c>
      <c r="B213" s="4">
        <v>15832.05</v>
      </c>
      <c r="C213" s="7">
        <v>211</v>
      </c>
      <c r="D213" s="5">
        <f t="shared" si="3"/>
        <v>8.4234259433956932E-3</v>
      </c>
    </row>
    <row r="214" spans="1:4" x14ac:dyDescent="0.3">
      <c r="A214" s="3">
        <v>44740</v>
      </c>
      <c r="B214" s="4">
        <v>15850.2</v>
      </c>
      <c r="C214" s="7">
        <v>212</v>
      </c>
      <c r="D214" s="5">
        <f t="shared" si="3"/>
        <v>1.1457520842448876E-3</v>
      </c>
    </row>
    <row r="215" spans="1:4" x14ac:dyDescent="0.3">
      <c r="A215" s="3">
        <v>44741</v>
      </c>
      <c r="B215" s="4">
        <v>15799.1</v>
      </c>
      <c r="C215" s="7">
        <v>213</v>
      </c>
      <c r="D215" s="5">
        <f t="shared" si="3"/>
        <v>-3.2291421550026864E-3</v>
      </c>
    </row>
    <row r="216" spans="1:4" x14ac:dyDescent="0.3">
      <c r="A216" s="3">
        <v>44742</v>
      </c>
      <c r="B216" s="4">
        <v>15780.25</v>
      </c>
      <c r="C216" s="7">
        <v>214</v>
      </c>
      <c r="D216" s="5">
        <f t="shared" si="3"/>
        <v>-1.1938182539383846E-3</v>
      </c>
    </row>
    <row r="217" spans="1:4" x14ac:dyDescent="0.3">
      <c r="A217" s="3">
        <v>44743</v>
      </c>
      <c r="B217" s="4">
        <v>15752.05</v>
      </c>
      <c r="C217" s="7">
        <v>215</v>
      </c>
      <c r="D217" s="5">
        <f t="shared" si="3"/>
        <v>-1.7886425993802585E-3</v>
      </c>
    </row>
    <row r="218" spans="1:4" x14ac:dyDescent="0.3">
      <c r="A218" s="3">
        <v>44746</v>
      </c>
      <c r="B218" s="4">
        <v>15835.35</v>
      </c>
      <c r="C218" s="7">
        <v>216</v>
      </c>
      <c r="D218" s="5">
        <f t="shared" si="3"/>
        <v>5.2742671509817375E-3</v>
      </c>
    </row>
    <row r="219" spans="1:4" x14ac:dyDescent="0.3">
      <c r="A219" s="3">
        <v>44747</v>
      </c>
      <c r="B219" s="4">
        <v>15810.85</v>
      </c>
      <c r="C219" s="7">
        <v>217</v>
      </c>
      <c r="D219" s="5">
        <f t="shared" si="3"/>
        <v>-1.5483694658309363E-3</v>
      </c>
    </row>
    <row r="220" spans="1:4" x14ac:dyDescent="0.3">
      <c r="A220" s="3">
        <v>44748</v>
      </c>
      <c r="B220" s="4">
        <v>15989.8</v>
      </c>
      <c r="C220" s="7">
        <v>218</v>
      </c>
      <c r="D220" s="5">
        <f t="shared" si="3"/>
        <v>1.1254605733214696E-2</v>
      </c>
    </row>
    <row r="221" spans="1:4" x14ac:dyDescent="0.3">
      <c r="A221" s="3">
        <v>44749</v>
      </c>
      <c r="B221" s="4">
        <v>16132.9</v>
      </c>
      <c r="C221" s="7">
        <v>219</v>
      </c>
      <c r="D221" s="5">
        <f t="shared" si="3"/>
        <v>8.9096462393676076E-3</v>
      </c>
    </row>
    <row r="222" spans="1:4" x14ac:dyDescent="0.3">
      <c r="A222" s="3">
        <v>44750</v>
      </c>
      <c r="B222" s="4">
        <v>16220.6</v>
      </c>
      <c r="C222" s="7">
        <v>220</v>
      </c>
      <c r="D222" s="5">
        <f t="shared" si="3"/>
        <v>5.4213741821626388E-3</v>
      </c>
    </row>
    <row r="223" spans="1:4" x14ac:dyDescent="0.3">
      <c r="A223" s="3">
        <v>44753</v>
      </c>
      <c r="B223" s="4">
        <v>16216</v>
      </c>
      <c r="C223" s="7">
        <v>221</v>
      </c>
      <c r="D223" s="5">
        <f t="shared" si="3"/>
        <v>-2.8363022208483917E-4</v>
      </c>
    </row>
    <row r="224" spans="1:4" x14ac:dyDescent="0.3">
      <c r="A224" s="3">
        <v>44754</v>
      </c>
      <c r="B224" s="4">
        <v>16058.3</v>
      </c>
      <c r="C224" s="7">
        <v>222</v>
      </c>
      <c r="D224" s="5">
        <f t="shared" si="3"/>
        <v>-9.7725592849715257E-3</v>
      </c>
    </row>
    <row r="225" spans="1:4" x14ac:dyDescent="0.3">
      <c r="A225" s="3">
        <v>44755</v>
      </c>
      <c r="B225" s="4">
        <v>15966.65</v>
      </c>
      <c r="C225" s="7">
        <v>223</v>
      </c>
      <c r="D225" s="5">
        <f t="shared" si="3"/>
        <v>-5.7236779578485313E-3</v>
      </c>
    </row>
    <row r="226" spans="1:4" x14ac:dyDescent="0.3">
      <c r="A226" s="3">
        <v>44756</v>
      </c>
      <c r="B226" s="4">
        <v>15938.65</v>
      </c>
      <c r="C226" s="7">
        <v>224</v>
      </c>
      <c r="D226" s="5">
        <f t="shared" si="3"/>
        <v>-1.7551947286701716E-3</v>
      </c>
    </row>
    <row r="227" spans="1:4" x14ac:dyDescent="0.3">
      <c r="A227" s="3">
        <v>44757</v>
      </c>
      <c r="B227" s="4">
        <v>16049.2</v>
      </c>
      <c r="C227" s="7">
        <v>225</v>
      </c>
      <c r="D227" s="5">
        <f t="shared" si="3"/>
        <v>6.9120269187908055E-3</v>
      </c>
    </row>
    <row r="228" spans="1:4" x14ac:dyDescent="0.3">
      <c r="A228" s="3">
        <v>44760</v>
      </c>
      <c r="B228" s="4">
        <v>16278.5</v>
      </c>
      <c r="C228" s="7">
        <v>226</v>
      </c>
      <c r="D228" s="5">
        <f t="shared" si="3"/>
        <v>1.4186214640328329E-2</v>
      </c>
    </row>
    <row r="229" spans="1:4" x14ac:dyDescent="0.3">
      <c r="A229" s="3">
        <v>44761</v>
      </c>
      <c r="B229" s="4">
        <v>16340.55</v>
      </c>
      <c r="C229" s="7">
        <v>227</v>
      </c>
      <c r="D229" s="5">
        <f t="shared" si="3"/>
        <v>3.8045298587748868E-3</v>
      </c>
    </row>
    <row r="230" spans="1:4" x14ac:dyDescent="0.3">
      <c r="A230" s="3">
        <v>44762</v>
      </c>
      <c r="B230" s="4">
        <v>16520.849999999999</v>
      </c>
      <c r="C230" s="7">
        <v>228</v>
      </c>
      <c r="D230" s="5">
        <f t="shared" si="3"/>
        <v>1.0973470957583456E-2</v>
      </c>
    </row>
    <row r="231" spans="1:4" x14ac:dyDescent="0.3">
      <c r="A231" s="3">
        <v>44763</v>
      </c>
      <c r="B231" s="4">
        <v>16605.25</v>
      </c>
      <c r="C231" s="7">
        <v>229</v>
      </c>
      <c r="D231" s="5">
        <f t="shared" si="3"/>
        <v>5.0956908678000479E-3</v>
      </c>
    </row>
    <row r="232" spans="1:4" x14ac:dyDescent="0.3">
      <c r="A232" s="3">
        <v>44764</v>
      </c>
      <c r="B232" s="4">
        <v>16719.45</v>
      </c>
      <c r="C232" s="7">
        <v>230</v>
      </c>
      <c r="D232" s="5">
        <f t="shared" si="3"/>
        <v>6.8538019571832377E-3</v>
      </c>
    </row>
    <row r="233" spans="1:4" x14ac:dyDescent="0.3">
      <c r="A233" s="3">
        <v>44767</v>
      </c>
      <c r="B233" s="4">
        <v>16631</v>
      </c>
      <c r="C233" s="7">
        <v>231</v>
      </c>
      <c r="D233" s="5">
        <f t="shared" si="3"/>
        <v>-5.3042886906669159E-3</v>
      </c>
    </row>
    <row r="234" spans="1:4" x14ac:dyDescent="0.3">
      <c r="A234" s="3">
        <v>44768</v>
      </c>
      <c r="B234" s="4">
        <v>16483.849999999999</v>
      </c>
      <c r="C234" s="7">
        <v>232</v>
      </c>
      <c r="D234" s="5">
        <f t="shared" si="3"/>
        <v>-8.8873099859093849E-3</v>
      </c>
    </row>
    <row r="235" spans="1:4" x14ac:dyDescent="0.3">
      <c r="A235" s="3">
        <v>44769</v>
      </c>
      <c r="B235" s="4">
        <v>16641.8</v>
      </c>
      <c r="C235" s="7">
        <v>233</v>
      </c>
      <c r="D235" s="5">
        <f t="shared" si="3"/>
        <v>9.5364889176067225E-3</v>
      </c>
    </row>
    <row r="236" spans="1:4" x14ac:dyDescent="0.3">
      <c r="A236" s="3">
        <v>44770</v>
      </c>
      <c r="B236" s="4">
        <v>16929.599999999999</v>
      </c>
      <c r="C236" s="7">
        <v>234</v>
      </c>
      <c r="D236" s="5">
        <f t="shared" si="3"/>
        <v>1.7145966548059971E-2</v>
      </c>
    </row>
    <row r="237" spans="1:4" x14ac:dyDescent="0.3">
      <c r="A237" s="3">
        <v>44771</v>
      </c>
      <c r="B237" s="4">
        <v>17158.25</v>
      </c>
      <c r="C237" s="7">
        <v>235</v>
      </c>
      <c r="D237" s="5">
        <f t="shared" si="3"/>
        <v>1.341553833962306E-2</v>
      </c>
    </row>
    <row r="238" spans="1:4" x14ac:dyDescent="0.3">
      <c r="A238" s="3">
        <v>44774</v>
      </c>
      <c r="B238" s="4">
        <v>17340.05</v>
      </c>
      <c r="C238" s="7">
        <v>236</v>
      </c>
      <c r="D238" s="5">
        <f t="shared" si="3"/>
        <v>1.0539747347198897E-2</v>
      </c>
    </row>
    <row r="239" spans="1:4" x14ac:dyDescent="0.3">
      <c r="A239" s="3">
        <v>44775</v>
      </c>
      <c r="B239" s="4">
        <v>17345.45</v>
      </c>
      <c r="C239" s="7">
        <v>237</v>
      </c>
      <c r="D239" s="5">
        <f t="shared" si="3"/>
        <v>3.1136930669172061E-4</v>
      </c>
    </row>
    <row r="240" spans="1:4" x14ac:dyDescent="0.3">
      <c r="A240" s="3">
        <v>44776</v>
      </c>
      <c r="B240" s="4">
        <v>17388.150000000001</v>
      </c>
      <c r="C240" s="7">
        <v>238</v>
      </c>
      <c r="D240" s="5">
        <f t="shared" si="3"/>
        <v>2.4587155671240059E-3</v>
      </c>
    </row>
    <row r="241" spans="1:4" x14ac:dyDescent="0.3">
      <c r="A241" s="3">
        <v>44777</v>
      </c>
      <c r="B241" s="4">
        <v>17382</v>
      </c>
      <c r="C241" s="7">
        <v>239</v>
      </c>
      <c r="D241" s="5">
        <f t="shared" si="3"/>
        <v>-3.5375171312953282E-4</v>
      </c>
    </row>
    <row r="242" spans="1:4" x14ac:dyDescent="0.3">
      <c r="A242" s="3">
        <v>44778</v>
      </c>
      <c r="B242" s="4">
        <v>17397.5</v>
      </c>
      <c r="C242" s="7">
        <v>240</v>
      </c>
      <c r="D242" s="5">
        <f t="shared" si="3"/>
        <v>8.9132972159968534E-4</v>
      </c>
    </row>
    <row r="243" spans="1:4" x14ac:dyDescent="0.3">
      <c r="A243" s="3">
        <v>44781</v>
      </c>
      <c r="B243" s="4">
        <v>17525.099999999999</v>
      </c>
      <c r="C243" s="7">
        <v>241</v>
      </c>
      <c r="D243" s="5">
        <f t="shared" si="3"/>
        <v>7.3076213015998703E-3</v>
      </c>
    </row>
    <row r="244" spans="1:4" x14ac:dyDescent="0.3">
      <c r="A244" s="3">
        <v>44783</v>
      </c>
      <c r="B244" s="4">
        <v>17534.75</v>
      </c>
      <c r="C244" s="7">
        <v>242</v>
      </c>
      <c r="D244" s="5">
        <f t="shared" si="3"/>
        <v>5.5048725215279116E-4</v>
      </c>
    </row>
    <row r="245" spans="1:4" x14ac:dyDescent="0.3">
      <c r="A245" s="3">
        <v>44784</v>
      </c>
      <c r="B245" s="4">
        <v>17659</v>
      </c>
      <c r="C245" s="7">
        <v>243</v>
      </c>
      <c r="D245" s="5">
        <f t="shared" si="3"/>
        <v>7.0609421403666373E-3</v>
      </c>
    </row>
    <row r="246" spans="1:4" x14ac:dyDescent="0.3">
      <c r="A246" s="3">
        <v>44785</v>
      </c>
      <c r="B246" s="4">
        <v>17698.150000000001</v>
      </c>
      <c r="C246" s="7">
        <v>244</v>
      </c>
      <c r="D246" s="5">
        <f t="shared" si="3"/>
        <v>2.2145459122128799E-3</v>
      </c>
    </row>
    <row r="247" spans="1:4" x14ac:dyDescent="0.3">
      <c r="A247" s="3">
        <v>44789</v>
      </c>
      <c r="B247" s="4">
        <v>17825.25</v>
      </c>
      <c r="C247" s="7">
        <v>245</v>
      </c>
      <c r="D247" s="5">
        <f t="shared" si="3"/>
        <v>7.1558771042484594E-3</v>
      </c>
    </row>
    <row r="248" spans="1:4" x14ac:dyDescent="0.3">
      <c r="A248" s="3">
        <v>44790</v>
      </c>
      <c r="B248" s="4">
        <v>17944.25</v>
      </c>
      <c r="C248" s="7">
        <v>246</v>
      </c>
      <c r="D248" s="5">
        <f t="shared" si="3"/>
        <v>6.6537379070216564E-3</v>
      </c>
    </row>
    <row r="249" spans="1:4" x14ac:dyDescent="0.3">
      <c r="A249" s="3">
        <v>44791</v>
      </c>
      <c r="B249" s="4">
        <v>17956.5</v>
      </c>
      <c r="C249" s="7">
        <v>247</v>
      </c>
      <c r="D249" s="5">
        <f t="shared" si="3"/>
        <v>6.8243702292707423E-4</v>
      </c>
    </row>
    <row r="250" spans="1:4" x14ac:dyDescent="0.3">
      <c r="A250" s="3">
        <v>44792</v>
      </c>
      <c r="B250" s="4">
        <v>17758.45</v>
      </c>
      <c r="C250" s="7">
        <v>248</v>
      </c>
      <c r="D250" s="5">
        <f t="shared" si="3"/>
        <v>-1.1090707396812729E-2</v>
      </c>
    </row>
    <row r="251" spans="1:4" x14ac:dyDescent="0.3">
      <c r="A251" s="3">
        <v>44795</v>
      </c>
      <c r="B251" s="4">
        <v>17490.7</v>
      </c>
      <c r="C251" s="7">
        <v>249</v>
      </c>
      <c r="D251" s="5">
        <f t="shared" si="3"/>
        <v>-1.519214788075593E-2</v>
      </c>
    </row>
    <row r="252" spans="1:4" x14ac:dyDescent="0.3">
      <c r="A252" s="3">
        <v>44796</v>
      </c>
      <c r="B252" s="4">
        <v>17577.5</v>
      </c>
      <c r="C252" s="7">
        <v>250</v>
      </c>
      <c r="D252" s="5">
        <f t="shared" si="3"/>
        <v>4.9503639913507161E-3</v>
      </c>
    </row>
    <row r="253" spans="1:4" x14ac:dyDescent="0.3">
      <c r="A253" s="3">
        <v>44797</v>
      </c>
      <c r="B253" s="4">
        <v>17604.95</v>
      </c>
      <c r="C253" s="7">
        <v>251</v>
      </c>
      <c r="D253" s="5">
        <f t="shared" si="3"/>
        <v>1.5604374095596946E-3</v>
      </c>
    </row>
    <row r="254" spans="1:4" x14ac:dyDescent="0.3">
      <c r="A254" s="3">
        <v>44798</v>
      </c>
      <c r="B254" s="4">
        <v>17522.45</v>
      </c>
      <c r="C254" s="7">
        <v>252</v>
      </c>
      <c r="D254" s="5">
        <f t="shared" si="3"/>
        <v>-4.6971965865721787E-3</v>
      </c>
    </row>
    <row r="255" spans="1:4" x14ac:dyDescent="0.3">
      <c r="A255" s="3">
        <v>44799</v>
      </c>
      <c r="B255" s="4">
        <v>17558.900000000001</v>
      </c>
      <c r="C255" s="7">
        <v>253</v>
      </c>
      <c r="D255" s="5">
        <f t="shared" si="3"/>
        <v>2.0780279616681788E-3</v>
      </c>
    </row>
    <row r="256" spans="1:4" x14ac:dyDescent="0.3">
      <c r="A256" s="3">
        <v>44802</v>
      </c>
      <c r="B256" s="4">
        <v>17312.900000000001</v>
      </c>
      <c r="C256" s="7">
        <v>254</v>
      </c>
      <c r="D256" s="5">
        <f t="shared" si="3"/>
        <v>-1.4109055502046193E-2</v>
      </c>
    </row>
    <row r="257" spans="1:4" x14ac:dyDescent="0.3">
      <c r="A257" s="3">
        <v>44803</v>
      </c>
      <c r="B257" s="4">
        <v>17759.3</v>
      </c>
      <c r="C257" s="7">
        <v>255</v>
      </c>
      <c r="D257" s="5">
        <f t="shared" si="3"/>
        <v>2.5457433999052224E-2</v>
      </c>
    </row>
    <row r="258" spans="1:4" x14ac:dyDescent="0.3">
      <c r="A258" s="3">
        <v>44805</v>
      </c>
      <c r="B258" s="4">
        <v>17542.8</v>
      </c>
      <c r="C258" s="7">
        <v>256</v>
      </c>
      <c r="D258" s="5">
        <f t="shared" si="3"/>
        <v>-1.226571304940768E-2</v>
      </c>
    </row>
    <row r="259" spans="1:4" x14ac:dyDescent="0.3">
      <c r="A259" s="3">
        <v>44806</v>
      </c>
      <c r="B259" s="4">
        <v>17539.45</v>
      </c>
      <c r="C259" s="7">
        <v>257</v>
      </c>
      <c r="D259" s="5">
        <f t="shared" ref="D259:D322" si="4">LN(B259/B258)</f>
        <v>-1.9097976955190739E-4</v>
      </c>
    </row>
    <row r="260" spans="1:4" x14ac:dyDescent="0.3">
      <c r="A260" s="3">
        <v>44809</v>
      </c>
      <c r="B260" s="4">
        <v>17665.8</v>
      </c>
      <c r="C260" s="7">
        <v>258</v>
      </c>
      <c r="D260" s="5">
        <f t="shared" si="4"/>
        <v>7.1779375230424077E-3</v>
      </c>
    </row>
    <row r="261" spans="1:4" x14ac:dyDescent="0.3">
      <c r="A261" s="3">
        <v>44810</v>
      </c>
      <c r="B261" s="4">
        <v>17655.599999999999</v>
      </c>
      <c r="C261" s="7">
        <v>259</v>
      </c>
      <c r="D261" s="5">
        <f t="shared" si="4"/>
        <v>-5.7755356715944719E-4</v>
      </c>
    </row>
    <row r="262" spans="1:4" x14ac:dyDescent="0.3">
      <c r="A262" s="3">
        <v>44811</v>
      </c>
      <c r="B262" s="4">
        <v>17624.400000000001</v>
      </c>
      <c r="C262" s="7">
        <v>260</v>
      </c>
      <c r="D262" s="5">
        <f t="shared" si="4"/>
        <v>-1.7687079440843621E-3</v>
      </c>
    </row>
    <row r="263" spans="1:4" x14ac:dyDescent="0.3">
      <c r="A263" s="3">
        <v>44812</v>
      </c>
      <c r="B263" s="4">
        <v>17798.75</v>
      </c>
      <c r="C263" s="7">
        <v>261</v>
      </c>
      <c r="D263" s="5">
        <f t="shared" si="4"/>
        <v>9.8439245473871447E-3</v>
      </c>
    </row>
    <row r="264" spans="1:4" x14ac:dyDescent="0.3">
      <c r="A264" s="3">
        <v>44813</v>
      </c>
      <c r="B264" s="4">
        <v>17833.349999999999</v>
      </c>
      <c r="C264" s="7">
        <v>262</v>
      </c>
      <c r="D264" s="5">
        <f t="shared" si="4"/>
        <v>1.9420696997862557E-3</v>
      </c>
    </row>
    <row r="265" spans="1:4" x14ac:dyDescent="0.3">
      <c r="A265" s="3">
        <v>44816</v>
      </c>
      <c r="B265" s="4">
        <v>17936.349999999999</v>
      </c>
      <c r="C265" s="7">
        <v>263</v>
      </c>
      <c r="D265" s="5">
        <f t="shared" si="4"/>
        <v>5.7590801534984177E-3</v>
      </c>
    </row>
    <row r="266" spans="1:4" x14ac:dyDescent="0.3">
      <c r="A266" s="3">
        <v>44817</v>
      </c>
      <c r="B266" s="4">
        <v>18070.05</v>
      </c>
      <c r="C266" s="7">
        <v>264</v>
      </c>
      <c r="D266" s="5">
        <f t="shared" si="4"/>
        <v>7.4264916511124004E-3</v>
      </c>
    </row>
    <row r="267" spans="1:4" x14ac:dyDescent="0.3">
      <c r="A267" s="3">
        <v>44818</v>
      </c>
      <c r="B267" s="4">
        <v>18003.75</v>
      </c>
      <c r="C267" s="7">
        <v>265</v>
      </c>
      <c r="D267" s="5">
        <f t="shared" si="4"/>
        <v>-3.6758020863416896E-3</v>
      </c>
    </row>
    <row r="268" spans="1:4" x14ac:dyDescent="0.3">
      <c r="A268" s="3">
        <v>44819</v>
      </c>
      <c r="B268" s="4">
        <v>17877.400000000001</v>
      </c>
      <c r="C268" s="7">
        <v>266</v>
      </c>
      <c r="D268" s="5">
        <f t="shared" si="4"/>
        <v>-7.0427242296225243E-3</v>
      </c>
    </row>
    <row r="269" spans="1:4" x14ac:dyDescent="0.3">
      <c r="A269" s="3">
        <v>44820</v>
      </c>
      <c r="B269" s="4">
        <v>17530.849999999999</v>
      </c>
      <c r="C269" s="7">
        <v>267</v>
      </c>
      <c r="D269" s="5">
        <f t="shared" si="4"/>
        <v>-1.9575159238115449E-2</v>
      </c>
    </row>
    <row r="270" spans="1:4" x14ac:dyDescent="0.3">
      <c r="A270" s="3">
        <v>44823</v>
      </c>
      <c r="B270" s="4">
        <v>17622.25</v>
      </c>
      <c r="C270" s="7">
        <v>268</v>
      </c>
      <c r="D270" s="5">
        <f t="shared" si="4"/>
        <v>5.2001220924611218E-3</v>
      </c>
    </row>
    <row r="271" spans="1:4" x14ac:dyDescent="0.3">
      <c r="A271" s="3">
        <v>44824</v>
      </c>
      <c r="B271" s="4">
        <v>17816.25</v>
      </c>
      <c r="C271" s="7">
        <v>269</v>
      </c>
      <c r="D271" s="5">
        <f t="shared" si="4"/>
        <v>1.0948654031257964E-2</v>
      </c>
    </row>
    <row r="272" spans="1:4" x14ac:dyDescent="0.3">
      <c r="A272" s="3">
        <v>44825</v>
      </c>
      <c r="B272" s="4">
        <v>17718.349999999999</v>
      </c>
      <c r="C272" s="7">
        <v>270</v>
      </c>
      <c r="D272" s="5">
        <f t="shared" si="4"/>
        <v>-5.5101364698046914E-3</v>
      </c>
    </row>
    <row r="273" spans="1:4" x14ac:dyDescent="0.3">
      <c r="A273" s="3">
        <v>44826</v>
      </c>
      <c r="B273" s="4">
        <v>17629.8</v>
      </c>
      <c r="C273" s="7">
        <v>271</v>
      </c>
      <c r="D273" s="5">
        <f t="shared" si="4"/>
        <v>-5.0101736713567694E-3</v>
      </c>
    </row>
    <row r="274" spans="1:4" x14ac:dyDescent="0.3">
      <c r="A274" s="3">
        <v>44827</v>
      </c>
      <c r="B274" s="4">
        <v>17327.349999999999</v>
      </c>
      <c r="C274" s="7">
        <v>272</v>
      </c>
      <c r="D274" s="5">
        <f t="shared" si="4"/>
        <v>-1.7304474032895981E-2</v>
      </c>
    </row>
    <row r="275" spans="1:4" x14ac:dyDescent="0.3">
      <c r="A275" s="3">
        <v>44830</v>
      </c>
      <c r="B275" s="4">
        <v>17016.3</v>
      </c>
      <c r="C275" s="7">
        <v>273</v>
      </c>
      <c r="D275" s="5">
        <f t="shared" si="4"/>
        <v>-1.8114469805080784E-2</v>
      </c>
    </row>
    <row r="276" spans="1:4" x14ac:dyDescent="0.3">
      <c r="A276" s="3">
        <v>44831</v>
      </c>
      <c r="B276" s="4">
        <v>17007.400000000001</v>
      </c>
      <c r="C276" s="7">
        <v>274</v>
      </c>
      <c r="D276" s="5">
        <f t="shared" si="4"/>
        <v>-5.2316474710229822E-4</v>
      </c>
    </row>
    <row r="277" spans="1:4" x14ac:dyDescent="0.3">
      <c r="A277" s="3">
        <v>44832</v>
      </c>
      <c r="B277" s="4">
        <v>16858.599999999999</v>
      </c>
      <c r="C277" s="7">
        <v>275</v>
      </c>
      <c r="D277" s="5">
        <f t="shared" si="4"/>
        <v>-8.7876311083257466E-3</v>
      </c>
    </row>
    <row r="278" spans="1:4" x14ac:dyDescent="0.3">
      <c r="A278" s="3">
        <v>44833</v>
      </c>
      <c r="B278" s="4">
        <v>16818.099999999999</v>
      </c>
      <c r="C278" s="7">
        <v>276</v>
      </c>
      <c r="D278" s="5">
        <f t="shared" si="4"/>
        <v>-2.4052249492814721E-3</v>
      </c>
    </row>
    <row r="279" spans="1:4" x14ac:dyDescent="0.3">
      <c r="A279" s="3">
        <v>44834</v>
      </c>
      <c r="B279" s="4">
        <v>17094.349999999999</v>
      </c>
      <c r="C279" s="7">
        <v>277</v>
      </c>
      <c r="D279" s="5">
        <f t="shared" si="4"/>
        <v>1.6292312151434972E-2</v>
      </c>
    </row>
    <row r="280" spans="1:4" x14ac:dyDescent="0.3">
      <c r="A280" s="3">
        <v>44837</v>
      </c>
      <c r="B280" s="4">
        <v>16887.349999999999</v>
      </c>
      <c r="C280" s="7">
        <v>278</v>
      </c>
      <c r="D280" s="5">
        <f t="shared" si="4"/>
        <v>-1.2183178617222033E-2</v>
      </c>
    </row>
    <row r="281" spans="1:4" x14ac:dyDescent="0.3">
      <c r="A281" s="3">
        <v>44838</v>
      </c>
      <c r="B281" s="4">
        <v>17274.3</v>
      </c>
      <c r="C281" s="7">
        <v>279</v>
      </c>
      <c r="D281" s="5">
        <f t="shared" si="4"/>
        <v>2.2655026911186513E-2</v>
      </c>
    </row>
    <row r="282" spans="1:4" x14ac:dyDescent="0.3">
      <c r="A282" s="3">
        <v>44840</v>
      </c>
      <c r="B282" s="4">
        <v>17331.8</v>
      </c>
      <c r="C282" s="7">
        <v>280</v>
      </c>
      <c r="D282" s="5">
        <f t="shared" si="4"/>
        <v>3.3231166132481811E-3</v>
      </c>
    </row>
    <row r="283" spans="1:4" x14ac:dyDescent="0.3">
      <c r="A283" s="3">
        <v>44841</v>
      </c>
      <c r="B283" s="4">
        <v>17314.650000000001</v>
      </c>
      <c r="C283" s="7">
        <v>281</v>
      </c>
      <c r="D283" s="5">
        <f t="shared" si="4"/>
        <v>-9.900004993715066E-4</v>
      </c>
    </row>
    <row r="284" spans="1:4" x14ac:dyDescent="0.3">
      <c r="A284" s="3">
        <v>44844</v>
      </c>
      <c r="B284" s="4">
        <v>17241</v>
      </c>
      <c r="C284" s="7">
        <v>282</v>
      </c>
      <c r="D284" s="5">
        <f t="shared" si="4"/>
        <v>-4.2626957688177139E-3</v>
      </c>
    </row>
    <row r="285" spans="1:4" x14ac:dyDescent="0.3">
      <c r="A285" s="3">
        <v>44845</v>
      </c>
      <c r="B285" s="4">
        <v>16983.55</v>
      </c>
      <c r="C285" s="7">
        <v>283</v>
      </c>
      <c r="D285" s="5">
        <f t="shared" si="4"/>
        <v>-1.504503966897207E-2</v>
      </c>
    </row>
    <row r="286" spans="1:4" x14ac:dyDescent="0.3">
      <c r="A286" s="3">
        <v>44846</v>
      </c>
      <c r="B286" s="4">
        <v>17123.599999999999</v>
      </c>
      <c r="C286" s="7">
        <v>284</v>
      </c>
      <c r="D286" s="5">
        <f t="shared" si="4"/>
        <v>8.21240045686677E-3</v>
      </c>
    </row>
    <row r="287" spans="1:4" x14ac:dyDescent="0.3">
      <c r="A287" s="3">
        <v>44847</v>
      </c>
      <c r="B287" s="4">
        <v>17014.349999999999</v>
      </c>
      <c r="C287" s="7">
        <v>285</v>
      </c>
      <c r="D287" s="5">
        <f t="shared" si="4"/>
        <v>-6.4005233452741625E-3</v>
      </c>
    </row>
    <row r="288" spans="1:4" x14ac:dyDescent="0.3">
      <c r="A288" s="3">
        <v>44848</v>
      </c>
      <c r="B288" s="4">
        <v>17185.7</v>
      </c>
      <c r="C288" s="7">
        <v>286</v>
      </c>
      <c r="D288" s="5">
        <f t="shared" si="4"/>
        <v>1.0020537033444438E-2</v>
      </c>
    </row>
    <row r="289" spans="1:4" x14ac:dyDescent="0.3">
      <c r="A289" s="3">
        <v>44851</v>
      </c>
      <c r="B289" s="4">
        <v>17311.8</v>
      </c>
      <c r="C289" s="7">
        <v>287</v>
      </c>
      <c r="D289" s="5">
        <f t="shared" si="4"/>
        <v>7.3107072473373395E-3</v>
      </c>
    </row>
    <row r="290" spans="1:4" x14ac:dyDescent="0.3">
      <c r="A290" s="3">
        <v>44852</v>
      </c>
      <c r="B290" s="4">
        <v>17486.95</v>
      </c>
      <c r="C290" s="7">
        <v>288</v>
      </c>
      <c r="D290" s="5">
        <f t="shared" si="4"/>
        <v>1.0066538543434379E-2</v>
      </c>
    </row>
    <row r="291" spans="1:4" x14ac:dyDescent="0.3">
      <c r="A291" s="3">
        <v>44853</v>
      </c>
      <c r="B291" s="4">
        <v>17512.25</v>
      </c>
      <c r="C291" s="7">
        <v>289</v>
      </c>
      <c r="D291" s="5">
        <f t="shared" si="4"/>
        <v>1.4457475831908754E-3</v>
      </c>
    </row>
    <row r="292" spans="1:4" x14ac:dyDescent="0.3">
      <c r="A292" s="3">
        <v>44854</v>
      </c>
      <c r="B292" s="4">
        <v>17563.95</v>
      </c>
      <c r="C292" s="7">
        <v>290</v>
      </c>
      <c r="D292" s="5">
        <f t="shared" si="4"/>
        <v>2.9478699197255992E-3</v>
      </c>
    </row>
    <row r="293" spans="1:4" x14ac:dyDescent="0.3">
      <c r="A293" s="3">
        <v>44855</v>
      </c>
      <c r="B293" s="4">
        <v>17576.3</v>
      </c>
      <c r="C293" s="7">
        <v>291</v>
      </c>
      <c r="D293" s="5">
        <f t="shared" si="4"/>
        <v>7.0289770325899842E-4</v>
      </c>
    </row>
    <row r="294" spans="1:4" x14ac:dyDescent="0.3">
      <c r="A294" s="3">
        <v>44858</v>
      </c>
      <c r="B294" s="4">
        <v>17730.75</v>
      </c>
      <c r="C294" s="7">
        <v>292</v>
      </c>
      <c r="D294" s="5">
        <f t="shared" si="4"/>
        <v>8.7490167091534895E-3</v>
      </c>
    </row>
    <row r="295" spans="1:4" x14ac:dyDescent="0.3">
      <c r="A295" s="3">
        <v>44859</v>
      </c>
      <c r="B295" s="4">
        <v>17656.349999999999</v>
      </c>
      <c r="C295" s="7">
        <v>293</v>
      </c>
      <c r="D295" s="5">
        <f t="shared" si="4"/>
        <v>-4.2049283283901789E-3</v>
      </c>
    </row>
    <row r="296" spans="1:4" x14ac:dyDescent="0.3">
      <c r="A296" s="3">
        <v>44861</v>
      </c>
      <c r="B296" s="4">
        <v>17736.95</v>
      </c>
      <c r="C296" s="7">
        <v>294</v>
      </c>
      <c r="D296" s="5">
        <f t="shared" si="4"/>
        <v>4.5545422059832148E-3</v>
      </c>
    </row>
    <row r="297" spans="1:4" x14ac:dyDescent="0.3">
      <c r="A297" s="3">
        <v>44862</v>
      </c>
      <c r="B297" s="4">
        <v>17786.8</v>
      </c>
      <c r="C297" s="7">
        <v>295</v>
      </c>
      <c r="D297" s="5">
        <f t="shared" si="4"/>
        <v>2.8065749095631263E-3</v>
      </c>
    </row>
    <row r="298" spans="1:4" x14ac:dyDescent="0.3">
      <c r="A298" s="3">
        <v>44865</v>
      </c>
      <c r="B298" s="4">
        <v>18012.2</v>
      </c>
      <c r="C298" s="7">
        <v>296</v>
      </c>
      <c r="D298" s="5">
        <f t="shared" si="4"/>
        <v>1.2592696923282446E-2</v>
      </c>
    </row>
    <row r="299" spans="1:4" x14ac:dyDescent="0.3">
      <c r="A299" s="3">
        <v>44866</v>
      </c>
      <c r="B299" s="4">
        <v>18145.400000000001</v>
      </c>
      <c r="C299" s="7">
        <v>297</v>
      </c>
      <c r="D299" s="5">
        <f t="shared" si="4"/>
        <v>7.3677789761327165E-3</v>
      </c>
    </row>
    <row r="300" spans="1:4" x14ac:dyDescent="0.3">
      <c r="A300" s="3">
        <v>44867</v>
      </c>
      <c r="B300" s="4">
        <v>18082.849999999999</v>
      </c>
      <c r="C300" s="7">
        <v>298</v>
      </c>
      <c r="D300" s="5">
        <f t="shared" si="4"/>
        <v>-3.4531097777932285E-3</v>
      </c>
    </row>
    <row r="301" spans="1:4" x14ac:dyDescent="0.3">
      <c r="A301" s="3">
        <v>44868</v>
      </c>
      <c r="B301" s="4">
        <v>18052.7</v>
      </c>
      <c r="C301" s="7">
        <v>299</v>
      </c>
      <c r="D301" s="5">
        <f t="shared" si="4"/>
        <v>-1.6687172048770696E-3</v>
      </c>
    </row>
    <row r="302" spans="1:4" x14ac:dyDescent="0.3">
      <c r="A302" s="3">
        <v>44869</v>
      </c>
      <c r="B302" s="4">
        <v>18117.150000000001</v>
      </c>
      <c r="C302" s="7">
        <v>300</v>
      </c>
      <c r="D302" s="5">
        <f t="shared" si="4"/>
        <v>3.5637453962944995E-3</v>
      </c>
    </row>
    <row r="303" spans="1:4" x14ac:dyDescent="0.3">
      <c r="A303" s="3">
        <v>44872</v>
      </c>
      <c r="B303" s="4">
        <v>18202.8</v>
      </c>
      <c r="C303" s="7">
        <v>301</v>
      </c>
      <c r="D303" s="5">
        <f t="shared" si="4"/>
        <v>4.7164249274147217E-3</v>
      </c>
    </row>
    <row r="304" spans="1:4" x14ac:dyDescent="0.3">
      <c r="A304" s="3">
        <v>44874</v>
      </c>
      <c r="B304" s="4">
        <v>18157</v>
      </c>
      <c r="C304" s="7">
        <v>302</v>
      </c>
      <c r="D304" s="5">
        <f t="shared" si="4"/>
        <v>-2.5192671149599894E-3</v>
      </c>
    </row>
    <row r="305" spans="1:4" x14ac:dyDescent="0.3">
      <c r="A305" s="3">
        <v>44875</v>
      </c>
      <c r="B305" s="4">
        <v>18028.2</v>
      </c>
      <c r="C305" s="7">
        <v>303</v>
      </c>
      <c r="D305" s="5">
        <f t="shared" si="4"/>
        <v>-7.1189626676594429E-3</v>
      </c>
    </row>
    <row r="306" spans="1:4" x14ac:dyDescent="0.3">
      <c r="A306" s="3">
        <v>44876</v>
      </c>
      <c r="B306" s="4">
        <v>18349.7</v>
      </c>
      <c r="C306" s="7">
        <v>304</v>
      </c>
      <c r="D306" s="5">
        <f t="shared" si="4"/>
        <v>1.7676026972224347E-2</v>
      </c>
    </row>
    <row r="307" spans="1:4" x14ac:dyDescent="0.3">
      <c r="A307" s="3">
        <v>44879</v>
      </c>
      <c r="B307" s="4">
        <v>18329.150000000001</v>
      </c>
      <c r="C307" s="7">
        <v>305</v>
      </c>
      <c r="D307" s="5">
        <f t="shared" si="4"/>
        <v>-1.1205368843472386E-3</v>
      </c>
    </row>
    <row r="308" spans="1:4" x14ac:dyDescent="0.3">
      <c r="A308" s="3">
        <v>44880</v>
      </c>
      <c r="B308" s="4">
        <v>18403.400000000001</v>
      </c>
      <c r="C308" s="7">
        <v>306</v>
      </c>
      <c r="D308" s="5">
        <f t="shared" si="4"/>
        <v>4.0427414446846995E-3</v>
      </c>
    </row>
    <row r="309" spans="1:4" x14ac:dyDescent="0.3">
      <c r="A309" s="3">
        <v>44881</v>
      </c>
      <c r="B309" s="4">
        <v>18409.650000000001</v>
      </c>
      <c r="C309" s="7">
        <v>307</v>
      </c>
      <c r="D309" s="5">
        <f t="shared" si="4"/>
        <v>3.3955350399116779E-4</v>
      </c>
    </row>
    <row r="310" spans="1:4" x14ac:dyDescent="0.3">
      <c r="A310" s="3">
        <v>44882</v>
      </c>
      <c r="B310" s="4">
        <v>18343.900000000001</v>
      </c>
      <c r="C310" s="7">
        <v>308</v>
      </c>
      <c r="D310" s="5">
        <f t="shared" si="4"/>
        <v>-3.5778894904250048E-3</v>
      </c>
    </row>
    <row r="311" spans="1:4" x14ac:dyDescent="0.3">
      <c r="A311" s="3">
        <v>44883</v>
      </c>
      <c r="B311" s="4">
        <v>18307.650000000001</v>
      </c>
      <c r="C311" s="7">
        <v>309</v>
      </c>
      <c r="D311" s="5">
        <f t="shared" si="4"/>
        <v>-1.9780888841003656E-3</v>
      </c>
    </row>
    <row r="312" spans="1:4" x14ac:dyDescent="0.3">
      <c r="A312" s="3">
        <v>44886</v>
      </c>
      <c r="B312" s="4">
        <v>18159.95</v>
      </c>
      <c r="C312" s="7">
        <v>310</v>
      </c>
      <c r="D312" s="5">
        <f t="shared" si="4"/>
        <v>-8.100385417505962E-3</v>
      </c>
    </row>
    <row r="313" spans="1:4" x14ac:dyDescent="0.3">
      <c r="A313" s="3">
        <v>44887</v>
      </c>
      <c r="B313" s="4">
        <v>18244.2</v>
      </c>
      <c r="C313" s="7">
        <v>311</v>
      </c>
      <c r="D313" s="5">
        <f t="shared" si="4"/>
        <v>4.6286014321959227E-3</v>
      </c>
    </row>
    <row r="314" spans="1:4" x14ac:dyDescent="0.3">
      <c r="A314" s="3">
        <v>44888</v>
      </c>
      <c r="B314" s="4">
        <v>18267.25</v>
      </c>
      <c r="C314" s="7">
        <v>312</v>
      </c>
      <c r="D314" s="5">
        <f t="shared" si="4"/>
        <v>1.2626177849523763E-3</v>
      </c>
    </row>
    <row r="315" spans="1:4" x14ac:dyDescent="0.3">
      <c r="A315" s="3">
        <v>44889</v>
      </c>
      <c r="B315" s="4">
        <v>18484.099999999999</v>
      </c>
      <c r="C315" s="7">
        <v>313</v>
      </c>
      <c r="D315" s="5">
        <f t="shared" si="4"/>
        <v>1.1801063995242344E-2</v>
      </c>
    </row>
    <row r="316" spans="1:4" x14ac:dyDescent="0.3">
      <c r="A316" s="3">
        <v>44890</v>
      </c>
      <c r="B316" s="4">
        <v>18512.75</v>
      </c>
      <c r="C316" s="7">
        <v>314</v>
      </c>
      <c r="D316" s="5">
        <f t="shared" si="4"/>
        <v>1.548780813877488E-3</v>
      </c>
    </row>
    <row r="317" spans="1:4" x14ac:dyDescent="0.3">
      <c r="A317" s="3">
        <v>44893</v>
      </c>
      <c r="B317" s="4">
        <v>18562.75</v>
      </c>
      <c r="C317" s="7">
        <v>315</v>
      </c>
      <c r="D317" s="5">
        <f t="shared" si="4"/>
        <v>2.6972005940332764E-3</v>
      </c>
    </row>
    <row r="318" spans="1:4" x14ac:dyDescent="0.3">
      <c r="A318" s="3">
        <v>44894</v>
      </c>
      <c r="B318" s="4">
        <v>18618.05</v>
      </c>
      <c r="C318" s="7">
        <v>316</v>
      </c>
      <c r="D318" s="5">
        <f t="shared" si="4"/>
        <v>2.9746557780997683E-3</v>
      </c>
    </row>
    <row r="319" spans="1:4" x14ac:dyDescent="0.3">
      <c r="A319" s="3">
        <v>44895</v>
      </c>
      <c r="B319" s="4">
        <v>18758.349999999999</v>
      </c>
      <c r="C319" s="7">
        <v>317</v>
      </c>
      <c r="D319" s="5">
        <f t="shared" si="4"/>
        <v>7.5074463545009001E-3</v>
      </c>
    </row>
    <row r="320" spans="1:4" x14ac:dyDescent="0.3">
      <c r="A320" s="3">
        <v>44896</v>
      </c>
      <c r="B320" s="4">
        <v>18812.5</v>
      </c>
      <c r="C320" s="7">
        <v>318</v>
      </c>
      <c r="D320" s="5">
        <f t="shared" si="4"/>
        <v>2.8825558908002974E-3</v>
      </c>
    </row>
    <row r="321" spans="1:4" x14ac:dyDescent="0.3">
      <c r="A321" s="3">
        <v>44897</v>
      </c>
      <c r="B321" s="4">
        <v>18696.099999999999</v>
      </c>
      <c r="C321" s="7">
        <v>319</v>
      </c>
      <c r="D321" s="5">
        <f t="shared" si="4"/>
        <v>-6.2065965491442813E-3</v>
      </c>
    </row>
    <row r="322" spans="1:4" x14ac:dyDescent="0.3">
      <c r="A322" s="3">
        <v>44900</v>
      </c>
      <c r="B322" s="4">
        <v>18701.05</v>
      </c>
      <c r="C322" s="7">
        <v>320</v>
      </c>
      <c r="D322" s="5">
        <f t="shared" si="4"/>
        <v>2.6472605687367874E-4</v>
      </c>
    </row>
    <row r="323" spans="1:4" x14ac:dyDescent="0.3">
      <c r="A323" s="3">
        <v>44901</v>
      </c>
      <c r="B323" s="4">
        <v>18642.75</v>
      </c>
      <c r="C323" s="7">
        <v>321</v>
      </c>
      <c r="D323" s="5">
        <f t="shared" ref="D323:D386" si="5">LN(B323/B322)</f>
        <v>-3.1223414523407593E-3</v>
      </c>
    </row>
    <row r="324" spans="1:4" x14ac:dyDescent="0.3">
      <c r="A324" s="3">
        <v>44902</v>
      </c>
      <c r="B324" s="4">
        <v>18560.5</v>
      </c>
      <c r="C324" s="7">
        <v>322</v>
      </c>
      <c r="D324" s="5">
        <f t="shared" si="5"/>
        <v>-4.4216639141222676E-3</v>
      </c>
    </row>
    <row r="325" spans="1:4" x14ac:dyDescent="0.3">
      <c r="A325" s="3">
        <v>44903</v>
      </c>
      <c r="B325" s="4">
        <v>18609.349999999999</v>
      </c>
      <c r="C325" s="7">
        <v>323</v>
      </c>
      <c r="D325" s="5">
        <f t="shared" si="5"/>
        <v>2.6284759354648821E-3</v>
      </c>
    </row>
    <row r="326" spans="1:4" x14ac:dyDescent="0.3">
      <c r="A326" s="3">
        <v>44904</v>
      </c>
      <c r="B326" s="4">
        <v>18496.599999999999</v>
      </c>
      <c r="C326" s="7">
        <v>324</v>
      </c>
      <c r="D326" s="5">
        <f t="shared" si="5"/>
        <v>-6.0772111756395393E-3</v>
      </c>
    </row>
    <row r="327" spans="1:4" x14ac:dyDescent="0.3">
      <c r="A327" s="3">
        <v>44907</v>
      </c>
      <c r="B327" s="4">
        <v>18497.150000000001</v>
      </c>
      <c r="C327" s="7">
        <v>325</v>
      </c>
      <c r="D327" s="5">
        <f t="shared" si="5"/>
        <v>2.9734752494251067E-5</v>
      </c>
    </row>
    <row r="328" spans="1:4" x14ac:dyDescent="0.3">
      <c r="A328" s="3">
        <v>44908</v>
      </c>
      <c r="B328" s="4">
        <v>18608</v>
      </c>
      <c r="C328" s="7">
        <v>326</v>
      </c>
      <c r="D328" s="5">
        <f t="shared" si="5"/>
        <v>5.9749296136281512E-3</v>
      </c>
    </row>
    <row r="329" spans="1:4" x14ac:dyDescent="0.3">
      <c r="A329" s="3">
        <v>44909</v>
      </c>
      <c r="B329" s="4">
        <v>18660.3</v>
      </c>
      <c r="C329" s="7">
        <v>327</v>
      </c>
      <c r="D329" s="5">
        <f t="shared" si="5"/>
        <v>2.8066766840707338E-3</v>
      </c>
    </row>
    <row r="330" spans="1:4" x14ac:dyDescent="0.3">
      <c r="A330" s="3">
        <v>44910</v>
      </c>
      <c r="B330" s="4">
        <v>18414.900000000001</v>
      </c>
      <c r="C330" s="7">
        <v>328</v>
      </c>
      <c r="D330" s="5">
        <f t="shared" si="5"/>
        <v>-1.3238152933783446E-2</v>
      </c>
    </row>
    <row r="331" spans="1:4" x14ac:dyDescent="0.3">
      <c r="A331" s="3">
        <v>44911</v>
      </c>
      <c r="B331" s="4">
        <v>18269</v>
      </c>
      <c r="C331" s="7">
        <v>329</v>
      </c>
      <c r="D331" s="5">
        <f t="shared" si="5"/>
        <v>-7.9544851721632479E-3</v>
      </c>
    </row>
    <row r="332" spans="1:4" x14ac:dyDescent="0.3">
      <c r="A332" s="3">
        <v>44914</v>
      </c>
      <c r="B332" s="4">
        <v>18420.45</v>
      </c>
      <c r="C332" s="7">
        <v>330</v>
      </c>
      <c r="D332" s="5">
        <f t="shared" si="5"/>
        <v>8.2558261417479597E-3</v>
      </c>
    </row>
    <row r="333" spans="1:4" x14ac:dyDescent="0.3">
      <c r="A333" s="3">
        <v>44915</v>
      </c>
      <c r="B333" s="4">
        <v>18385.3</v>
      </c>
      <c r="C333" s="7">
        <v>331</v>
      </c>
      <c r="D333" s="5">
        <f t="shared" si="5"/>
        <v>-1.9100282258184755E-3</v>
      </c>
    </row>
    <row r="334" spans="1:4" x14ac:dyDescent="0.3">
      <c r="A334" s="3">
        <v>44916</v>
      </c>
      <c r="B334" s="4">
        <v>18199.099999999999</v>
      </c>
      <c r="C334" s="7">
        <v>332</v>
      </c>
      <c r="D334" s="5">
        <f t="shared" si="5"/>
        <v>-1.0179289959781981E-2</v>
      </c>
    </row>
    <row r="335" spans="1:4" x14ac:dyDescent="0.3">
      <c r="A335" s="3">
        <v>44917</v>
      </c>
      <c r="B335" s="4">
        <v>18127.349999999999</v>
      </c>
      <c r="C335" s="7">
        <v>333</v>
      </c>
      <c r="D335" s="5">
        <f t="shared" si="5"/>
        <v>-3.950294801933504E-3</v>
      </c>
    </row>
    <row r="336" spans="1:4" x14ac:dyDescent="0.3">
      <c r="A336" s="3">
        <v>44918</v>
      </c>
      <c r="B336" s="4">
        <v>17806.8</v>
      </c>
      <c r="C336" s="7">
        <v>334</v>
      </c>
      <c r="D336" s="5">
        <f t="shared" si="5"/>
        <v>-1.7841440690702759E-2</v>
      </c>
    </row>
    <row r="337" spans="1:4" x14ac:dyDescent="0.3">
      <c r="A337" s="3">
        <v>44921</v>
      </c>
      <c r="B337" s="4">
        <v>18014.599999999999</v>
      </c>
      <c r="C337" s="7">
        <v>335</v>
      </c>
      <c r="D337" s="5">
        <f t="shared" si="5"/>
        <v>1.1602133416483444E-2</v>
      </c>
    </row>
    <row r="338" spans="1:4" x14ac:dyDescent="0.3">
      <c r="A338" s="3">
        <v>44922</v>
      </c>
      <c r="B338" s="4">
        <v>18132.3</v>
      </c>
      <c r="C338" s="7">
        <v>336</v>
      </c>
      <c r="D338" s="5">
        <f t="shared" si="5"/>
        <v>6.5123380415187272E-3</v>
      </c>
    </row>
    <row r="339" spans="1:4" x14ac:dyDescent="0.3">
      <c r="A339" s="3">
        <v>44923</v>
      </c>
      <c r="B339" s="4">
        <v>18122.5</v>
      </c>
      <c r="C339" s="7">
        <v>337</v>
      </c>
      <c r="D339" s="5">
        <f t="shared" si="5"/>
        <v>-5.4061808305026044E-4</v>
      </c>
    </row>
    <row r="340" spans="1:4" x14ac:dyDescent="0.3">
      <c r="A340" s="3">
        <v>44924</v>
      </c>
      <c r="B340" s="4">
        <v>18191</v>
      </c>
      <c r="C340" s="7">
        <v>338</v>
      </c>
      <c r="D340" s="5">
        <f t="shared" si="5"/>
        <v>3.7727060871833766E-3</v>
      </c>
    </row>
    <row r="341" spans="1:4" x14ac:dyDescent="0.3">
      <c r="A341" s="3">
        <v>44925</v>
      </c>
      <c r="B341" s="4">
        <v>18105.3</v>
      </c>
      <c r="C341" s="7">
        <v>339</v>
      </c>
      <c r="D341" s="5">
        <f t="shared" si="5"/>
        <v>-4.7222531914706822E-3</v>
      </c>
    </row>
    <row r="342" spans="1:4" x14ac:dyDescent="0.3">
      <c r="A342" s="3">
        <v>44928</v>
      </c>
      <c r="B342" s="4">
        <v>18197.45</v>
      </c>
      <c r="C342" s="7">
        <v>340</v>
      </c>
      <c r="D342" s="5">
        <f t="shared" si="5"/>
        <v>5.0767612877239332E-3</v>
      </c>
    </row>
    <row r="343" spans="1:4" x14ac:dyDescent="0.3">
      <c r="A343" s="3">
        <v>44929</v>
      </c>
      <c r="B343" s="4">
        <v>18232.55</v>
      </c>
      <c r="C343" s="7">
        <v>341</v>
      </c>
      <c r="D343" s="5">
        <f t="shared" si="5"/>
        <v>1.9269838518420508E-3</v>
      </c>
    </row>
    <row r="344" spans="1:4" x14ac:dyDescent="0.3">
      <c r="A344" s="3">
        <v>44930</v>
      </c>
      <c r="B344" s="4">
        <v>18042.95</v>
      </c>
      <c r="C344" s="7">
        <v>342</v>
      </c>
      <c r="D344" s="5">
        <f t="shared" si="5"/>
        <v>-1.0453431463642316E-2</v>
      </c>
    </row>
    <row r="345" spans="1:4" x14ac:dyDescent="0.3">
      <c r="A345" s="3">
        <v>44931</v>
      </c>
      <c r="B345" s="4">
        <v>17992.150000000001</v>
      </c>
      <c r="C345" s="7">
        <v>343</v>
      </c>
      <c r="D345" s="5">
        <f t="shared" si="5"/>
        <v>-2.8194751035864399E-3</v>
      </c>
    </row>
    <row r="346" spans="1:4" x14ac:dyDescent="0.3">
      <c r="A346" s="3">
        <v>44932</v>
      </c>
      <c r="B346" s="4">
        <v>17859.45</v>
      </c>
      <c r="C346" s="7">
        <v>344</v>
      </c>
      <c r="D346" s="5">
        <f t="shared" si="5"/>
        <v>-7.4027717595589147E-3</v>
      </c>
    </row>
    <row r="347" spans="1:4" x14ac:dyDescent="0.3">
      <c r="A347" s="3">
        <v>44935</v>
      </c>
      <c r="B347" s="4">
        <v>18101.2</v>
      </c>
      <c r="C347" s="7">
        <v>345</v>
      </c>
      <c r="D347" s="5">
        <f t="shared" si="5"/>
        <v>1.3445454515296811E-2</v>
      </c>
    </row>
    <row r="348" spans="1:4" x14ac:dyDescent="0.3">
      <c r="A348" s="3">
        <v>44936</v>
      </c>
      <c r="B348" s="4">
        <v>17914.150000000001</v>
      </c>
      <c r="C348" s="7">
        <v>346</v>
      </c>
      <c r="D348" s="5">
        <f t="shared" si="5"/>
        <v>-1.0387331059448432E-2</v>
      </c>
    </row>
    <row r="349" spans="1:4" x14ac:dyDescent="0.3">
      <c r="A349" s="3">
        <v>44937</v>
      </c>
      <c r="B349" s="4">
        <v>17895.7</v>
      </c>
      <c r="C349" s="7">
        <v>347</v>
      </c>
      <c r="D349" s="5">
        <f t="shared" si="5"/>
        <v>-1.0304428324909225E-3</v>
      </c>
    </row>
    <row r="350" spans="1:4" x14ac:dyDescent="0.3">
      <c r="A350" s="3">
        <v>44938</v>
      </c>
      <c r="B350" s="4">
        <v>17858.2</v>
      </c>
      <c r="C350" s="7">
        <v>348</v>
      </c>
      <c r="D350" s="5">
        <f t="shared" si="5"/>
        <v>-2.097674030007273E-3</v>
      </c>
    </row>
    <row r="351" spans="1:4" x14ac:dyDescent="0.3">
      <c r="A351" s="3">
        <v>44939</v>
      </c>
      <c r="B351" s="4">
        <v>17956.599999999999</v>
      </c>
      <c r="C351" s="7">
        <v>349</v>
      </c>
      <c r="D351" s="5">
        <f t="shared" si="5"/>
        <v>5.4949488811592336E-3</v>
      </c>
    </row>
    <row r="352" spans="1:4" x14ac:dyDescent="0.3">
      <c r="A352" s="3">
        <v>44942</v>
      </c>
      <c r="B352" s="4">
        <v>17894.849999999999</v>
      </c>
      <c r="C352" s="7">
        <v>350</v>
      </c>
      <c r="D352" s="5">
        <f t="shared" si="5"/>
        <v>-3.44477342271146E-3</v>
      </c>
    </row>
    <row r="353" spans="1:4" x14ac:dyDescent="0.3">
      <c r="A353" s="3">
        <v>44943</v>
      </c>
      <c r="B353" s="4">
        <v>18053.3</v>
      </c>
      <c r="C353" s="7">
        <v>351</v>
      </c>
      <c r="D353" s="5">
        <f t="shared" si="5"/>
        <v>8.8155315999272829E-3</v>
      </c>
    </row>
    <row r="354" spans="1:4" x14ac:dyDescent="0.3">
      <c r="A354" s="3">
        <v>44944</v>
      </c>
      <c r="B354" s="4">
        <v>18165.349999999999</v>
      </c>
      <c r="C354" s="7">
        <v>352</v>
      </c>
      <c r="D354" s="5">
        <f t="shared" si="5"/>
        <v>6.1874397571668738E-3</v>
      </c>
    </row>
    <row r="355" spans="1:4" x14ac:dyDescent="0.3">
      <c r="A355" s="3">
        <v>44945</v>
      </c>
      <c r="B355" s="4">
        <v>18107.849999999999</v>
      </c>
      <c r="C355" s="7">
        <v>353</v>
      </c>
      <c r="D355" s="5">
        <f t="shared" si="5"/>
        <v>-3.1703874024205901E-3</v>
      </c>
    </row>
    <row r="356" spans="1:4" x14ac:dyDescent="0.3">
      <c r="A356" s="3">
        <v>44946</v>
      </c>
      <c r="B356" s="4">
        <v>18027.650000000001</v>
      </c>
      <c r="C356" s="7">
        <v>354</v>
      </c>
      <c r="D356" s="5">
        <f t="shared" si="5"/>
        <v>-4.4388555124240574E-3</v>
      </c>
    </row>
    <row r="357" spans="1:4" x14ac:dyDescent="0.3">
      <c r="A357" s="3">
        <v>44949</v>
      </c>
      <c r="B357" s="4">
        <v>18118.55</v>
      </c>
      <c r="C357" s="7">
        <v>355</v>
      </c>
      <c r="D357" s="5">
        <f t="shared" si="5"/>
        <v>5.0295849424065783E-3</v>
      </c>
    </row>
    <row r="358" spans="1:4" x14ac:dyDescent="0.3">
      <c r="A358" s="3">
        <v>44950</v>
      </c>
      <c r="B358" s="4">
        <v>18118.3</v>
      </c>
      <c r="C358" s="7">
        <v>356</v>
      </c>
      <c r="D358" s="5">
        <f t="shared" si="5"/>
        <v>-1.3798108831454769E-5</v>
      </c>
    </row>
    <row r="359" spans="1:4" x14ac:dyDescent="0.3">
      <c r="A359" s="3">
        <v>44951</v>
      </c>
      <c r="B359" s="4">
        <v>17891.95</v>
      </c>
      <c r="C359" s="7">
        <v>357</v>
      </c>
      <c r="D359" s="5">
        <f t="shared" si="5"/>
        <v>-1.2571586207360697E-2</v>
      </c>
    </row>
    <row r="360" spans="1:4" x14ac:dyDescent="0.3">
      <c r="A360" s="3">
        <v>44953</v>
      </c>
      <c r="B360" s="4">
        <v>17604.349999999999</v>
      </c>
      <c r="C360" s="7">
        <v>358</v>
      </c>
      <c r="D360" s="5">
        <f t="shared" si="5"/>
        <v>-1.6204860425410094E-2</v>
      </c>
    </row>
    <row r="361" spans="1:4" x14ac:dyDescent="0.3">
      <c r="A361" s="3">
        <v>44956</v>
      </c>
      <c r="B361" s="4">
        <v>17648.95</v>
      </c>
      <c r="C361" s="7">
        <v>359</v>
      </c>
      <c r="D361" s="5">
        <f t="shared" si="5"/>
        <v>2.5302609284759267E-3</v>
      </c>
    </row>
    <row r="362" spans="1:4" x14ac:dyDescent="0.3">
      <c r="A362" s="3">
        <v>44957</v>
      </c>
      <c r="B362" s="4">
        <v>17662.150000000001</v>
      </c>
      <c r="C362" s="7">
        <v>360</v>
      </c>
      <c r="D362" s="5">
        <f t="shared" si="5"/>
        <v>7.4764029525351266E-4</v>
      </c>
    </row>
    <row r="363" spans="1:4" x14ac:dyDescent="0.3">
      <c r="A363" s="3">
        <v>44958</v>
      </c>
      <c r="B363" s="4">
        <v>17616.3</v>
      </c>
      <c r="C363" s="7">
        <v>361</v>
      </c>
      <c r="D363" s="5">
        <f t="shared" si="5"/>
        <v>-2.5993220119003902E-3</v>
      </c>
    </row>
    <row r="364" spans="1:4" x14ac:dyDescent="0.3">
      <c r="A364" s="3">
        <v>44959</v>
      </c>
      <c r="B364" s="4">
        <v>17610.400000000001</v>
      </c>
      <c r="C364" s="7">
        <v>362</v>
      </c>
      <c r="D364" s="5">
        <f t="shared" si="5"/>
        <v>-3.3497319108321866E-4</v>
      </c>
    </row>
    <row r="365" spans="1:4" x14ac:dyDescent="0.3">
      <c r="A365" s="3">
        <v>44960</v>
      </c>
      <c r="B365" s="4">
        <v>17854.05</v>
      </c>
      <c r="C365" s="7">
        <v>363</v>
      </c>
      <c r="D365" s="5">
        <f t="shared" si="5"/>
        <v>1.3740736629151006E-2</v>
      </c>
    </row>
    <row r="366" spans="1:4" x14ac:dyDescent="0.3">
      <c r="A366" s="3">
        <v>44963</v>
      </c>
      <c r="B366" s="4">
        <v>17764.599999999999</v>
      </c>
      <c r="C366" s="7">
        <v>364</v>
      </c>
      <c r="D366" s="5">
        <f t="shared" si="5"/>
        <v>-5.0226602101452831E-3</v>
      </c>
    </row>
    <row r="367" spans="1:4" x14ac:dyDescent="0.3">
      <c r="A367" s="3">
        <v>44964</v>
      </c>
      <c r="B367" s="4">
        <v>17721.5</v>
      </c>
      <c r="C367" s="7">
        <v>365</v>
      </c>
      <c r="D367" s="5">
        <f t="shared" si="5"/>
        <v>-2.4291213288073102E-3</v>
      </c>
    </row>
    <row r="368" spans="1:4" x14ac:dyDescent="0.3">
      <c r="A368" s="3">
        <v>44965</v>
      </c>
      <c r="B368" s="4">
        <v>17871.7</v>
      </c>
      <c r="C368" s="7">
        <v>366</v>
      </c>
      <c r="D368" s="5">
        <f t="shared" si="5"/>
        <v>8.4398644447551876E-3</v>
      </c>
    </row>
    <row r="369" spans="1:4" x14ac:dyDescent="0.3">
      <c r="A369" s="3">
        <v>44966</v>
      </c>
      <c r="B369" s="4">
        <v>17893.45</v>
      </c>
      <c r="C369" s="7">
        <v>367</v>
      </c>
      <c r="D369" s="5">
        <f t="shared" si="5"/>
        <v>1.2162679413476782E-3</v>
      </c>
    </row>
    <row r="370" spans="1:4" x14ac:dyDescent="0.3">
      <c r="A370" s="3">
        <v>44967</v>
      </c>
      <c r="B370" s="4">
        <v>17856.5</v>
      </c>
      <c r="C370" s="7">
        <v>368</v>
      </c>
      <c r="D370" s="5">
        <f t="shared" si="5"/>
        <v>-2.0671364943135387E-3</v>
      </c>
    </row>
    <row r="371" spans="1:4" x14ac:dyDescent="0.3">
      <c r="A371" s="3">
        <v>44970</v>
      </c>
      <c r="B371" s="4">
        <v>17770.900000000001</v>
      </c>
      <c r="C371" s="7">
        <v>369</v>
      </c>
      <c r="D371" s="5">
        <f t="shared" si="5"/>
        <v>-4.8052995568044921E-3</v>
      </c>
    </row>
    <row r="372" spans="1:4" x14ac:dyDescent="0.3">
      <c r="A372" s="3">
        <v>44971</v>
      </c>
      <c r="B372" s="4">
        <v>17929.849999999999</v>
      </c>
      <c r="C372" s="7">
        <v>370</v>
      </c>
      <c r="D372" s="5">
        <f t="shared" si="5"/>
        <v>8.9046336726180588E-3</v>
      </c>
    </row>
    <row r="373" spans="1:4" x14ac:dyDescent="0.3">
      <c r="A373" s="3">
        <v>44972</v>
      </c>
      <c r="B373" s="4">
        <v>18015.849999999999</v>
      </c>
      <c r="C373" s="7">
        <v>371</v>
      </c>
      <c r="D373" s="5">
        <f t="shared" si="5"/>
        <v>4.7850042753287744E-3</v>
      </c>
    </row>
    <row r="374" spans="1:4" x14ac:dyDescent="0.3">
      <c r="A374" s="3">
        <v>44973</v>
      </c>
      <c r="B374" s="4">
        <v>18035.849999999999</v>
      </c>
      <c r="C374" s="7">
        <v>372</v>
      </c>
      <c r="D374" s="5">
        <f t="shared" si="5"/>
        <v>1.1095178342057001E-3</v>
      </c>
    </row>
    <row r="375" spans="1:4" x14ac:dyDescent="0.3">
      <c r="A375" s="3">
        <v>44974</v>
      </c>
      <c r="B375" s="4">
        <v>17944.2</v>
      </c>
      <c r="C375" s="7">
        <v>373</v>
      </c>
      <c r="D375" s="5">
        <f t="shared" si="5"/>
        <v>-5.0945008816343056E-3</v>
      </c>
    </row>
    <row r="376" spans="1:4" x14ac:dyDescent="0.3">
      <c r="A376" s="3">
        <v>44977</v>
      </c>
      <c r="B376" s="4">
        <v>17844.599999999999</v>
      </c>
      <c r="C376" s="7">
        <v>374</v>
      </c>
      <c r="D376" s="5">
        <f t="shared" si="5"/>
        <v>-5.5660014941524474E-3</v>
      </c>
    </row>
    <row r="377" spans="1:4" x14ac:dyDescent="0.3">
      <c r="A377" s="3">
        <v>44978</v>
      </c>
      <c r="B377" s="4">
        <v>17826.7</v>
      </c>
      <c r="C377" s="7">
        <v>375</v>
      </c>
      <c r="D377" s="5">
        <f t="shared" si="5"/>
        <v>-1.0036080267580851E-3</v>
      </c>
    </row>
    <row r="378" spans="1:4" x14ac:dyDescent="0.3">
      <c r="A378" s="3">
        <v>44979</v>
      </c>
      <c r="B378" s="4">
        <v>17554.3</v>
      </c>
      <c r="C378" s="7">
        <v>376</v>
      </c>
      <c r="D378" s="5">
        <f t="shared" si="5"/>
        <v>-1.539839927597453E-2</v>
      </c>
    </row>
    <row r="379" spans="1:4" x14ac:dyDescent="0.3">
      <c r="A379" s="3">
        <v>44980</v>
      </c>
      <c r="B379" s="4">
        <v>17511.25</v>
      </c>
      <c r="C379" s="7">
        <v>377</v>
      </c>
      <c r="D379" s="5">
        <f t="shared" si="5"/>
        <v>-2.4554026176142147E-3</v>
      </c>
    </row>
    <row r="380" spans="1:4" x14ac:dyDescent="0.3">
      <c r="A380" s="3">
        <v>44981</v>
      </c>
      <c r="B380" s="4">
        <v>17465.8</v>
      </c>
      <c r="C380" s="7">
        <v>378</v>
      </c>
      <c r="D380" s="5">
        <f t="shared" si="5"/>
        <v>-2.5988484209401182E-3</v>
      </c>
    </row>
    <row r="381" spans="1:4" x14ac:dyDescent="0.3">
      <c r="A381" s="3">
        <v>44984</v>
      </c>
      <c r="B381" s="4">
        <v>17392.7</v>
      </c>
      <c r="C381" s="7">
        <v>379</v>
      </c>
      <c r="D381" s="5">
        <f t="shared" si="5"/>
        <v>-4.1941051482731325E-3</v>
      </c>
    </row>
    <row r="382" spans="1:4" x14ac:dyDescent="0.3">
      <c r="A382" s="3">
        <v>44985</v>
      </c>
      <c r="B382" s="4">
        <v>17303.95</v>
      </c>
      <c r="C382" s="7">
        <v>380</v>
      </c>
      <c r="D382" s="5">
        <f t="shared" si="5"/>
        <v>-5.1157788177069495E-3</v>
      </c>
    </row>
    <row r="383" spans="1:4" x14ac:dyDescent="0.3">
      <c r="A383" s="3">
        <v>44986</v>
      </c>
      <c r="B383" s="4">
        <v>17450.900000000001</v>
      </c>
      <c r="C383" s="7">
        <v>381</v>
      </c>
      <c r="D383" s="5">
        <f t="shared" si="5"/>
        <v>8.4564241084092717E-3</v>
      </c>
    </row>
    <row r="384" spans="1:4" x14ac:dyDescent="0.3">
      <c r="A384" s="3">
        <v>44987</v>
      </c>
      <c r="B384" s="4">
        <v>17321.900000000001</v>
      </c>
      <c r="C384" s="7">
        <v>382</v>
      </c>
      <c r="D384" s="5">
        <f t="shared" si="5"/>
        <v>-7.4196263629130879E-3</v>
      </c>
    </row>
    <row r="385" spans="1:4" x14ac:dyDescent="0.3">
      <c r="A385" s="3">
        <v>44988</v>
      </c>
      <c r="B385" s="4">
        <v>17594.349999999999</v>
      </c>
      <c r="C385" s="7">
        <v>383</v>
      </c>
      <c r="D385" s="5">
        <f t="shared" si="5"/>
        <v>1.5606230891244488E-2</v>
      </c>
    </row>
    <row r="386" spans="1:4" x14ac:dyDescent="0.3">
      <c r="A386" s="3">
        <v>44991</v>
      </c>
      <c r="B386" s="4">
        <v>17711.45</v>
      </c>
      <c r="C386" s="7">
        <v>384</v>
      </c>
      <c r="D386" s="5">
        <f t="shared" si="5"/>
        <v>6.6334953122811511E-3</v>
      </c>
    </row>
    <row r="387" spans="1:4" x14ac:dyDescent="0.3">
      <c r="A387" s="3">
        <v>44993</v>
      </c>
      <c r="B387" s="4">
        <v>17754.400000000001</v>
      </c>
      <c r="C387" s="7">
        <v>385</v>
      </c>
      <c r="D387" s="5">
        <f t="shared" ref="D387:D450" si="6">LN(B387/B386)</f>
        <v>2.4220494360940436E-3</v>
      </c>
    </row>
    <row r="388" spans="1:4" x14ac:dyDescent="0.3">
      <c r="A388" s="3">
        <v>44994</v>
      </c>
      <c r="B388" s="4">
        <v>17589.599999999999</v>
      </c>
      <c r="C388" s="7">
        <v>386</v>
      </c>
      <c r="D388" s="5">
        <f t="shared" si="6"/>
        <v>-9.3255542287693904E-3</v>
      </c>
    </row>
    <row r="389" spans="1:4" x14ac:dyDescent="0.3">
      <c r="A389" s="3">
        <v>44995</v>
      </c>
      <c r="B389" s="4">
        <v>17412.900000000001</v>
      </c>
      <c r="C389" s="7">
        <v>387</v>
      </c>
      <c r="D389" s="5">
        <f t="shared" si="6"/>
        <v>-1.0096507452669731E-2</v>
      </c>
    </row>
    <row r="390" spans="1:4" x14ac:dyDescent="0.3">
      <c r="A390" s="3">
        <v>44998</v>
      </c>
      <c r="B390" s="4">
        <v>17154.3</v>
      </c>
      <c r="C390" s="7">
        <v>388</v>
      </c>
      <c r="D390" s="5">
        <f t="shared" si="6"/>
        <v>-1.4962439797248966E-2</v>
      </c>
    </row>
    <row r="391" spans="1:4" x14ac:dyDescent="0.3">
      <c r="A391" s="3">
        <v>44999</v>
      </c>
      <c r="B391" s="4">
        <v>17043.3</v>
      </c>
      <c r="C391" s="7">
        <v>389</v>
      </c>
      <c r="D391" s="5">
        <f t="shared" si="6"/>
        <v>-6.4917064247525776E-3</v>
      </c>
    </row>
    <row r="392" spans="1:4" x14ac:dyDescent="0.3">
      <c r="A392" s="3">
        <v>45000</v>
      </c>
      <c r="B392" s="4">
        <v>16972.150000000001</v>
      </c>
      <c r="C392" s="7">
        <v>390</v>
      </c>
      <c r="D392" s="5">
        <f t="shared" si="6"/>
        <v>-4.1833992356591016E-3</v>
      </c>
    </row>
    <row r="393" spans="1:4" x14ac:dyDescent="0.3">
      <c r="A393" s="3">
        <v>45001</v>
      </c>
      <c r="B393" s="4">
        <v>16985.599999999999</v>
      </c>
      <c r="C393" s="7">
        <v>391</v>
      </c>
      <c r="D393" s="5">
        <f t="shared" si="6"/>
        <v>7.9216088835932304E-4</v>
      </c>
    </row>
    <row r="394" spans="1:4" x14ac:dyDescent="0.3">
      <c r="A394" s="3">
        <v>45002</v>
      </c>
      <c r="B394" s="4">
        <v>17100.05</v>
      </c>
      <c r="C394" s="7">
        <v>392</v>
      </c>
      <c r="D394" s="5">
        <f t="shared" si="6"/>
        <v>6.715461205305623E-3</v>
      </c>
    </row>
    <row r="395" spans="1:4" x14ac:dyDescent="0.3">
      <c r="A395" s="3">
        <v>45005</v>
      </c>
      <c r="B395" s="4">
        <v>16988.400000000001</v>
      </c>
      <c r="C395" s="7">
        <v>393</v>
      </c>
      <c r="D395" s="5">
        <f t="shared" si="6"/>
        <v>-6.5506292746326279E-3</v>
      </c>
    </row>
    <row r="396" spans="1:4" x14ac:dyDescent="0.3">
      <c r="A396" s="3">
        <v>45006</v>
      </c>
      <c r="B396" s="4">
        <v>17107.5</v>
      </c>
      <c r="C396" s="7">
        <v>394</v>
      </c>
      <c r="D396" s="5">
        <f t="shared" si="6"/>
        <v>6.9862056382009536E-3</v>
      </c>
    </row>
    <row r="397" spans="1:4" x14ac:dyDescent="0.3">
      <c r="A397" s="3">
        <v>45007</v>
      </c>
      <c r="B397" s="4">
        <v>17151.900000000001</v>
      </c>
      <c r="C397" s="7">
        <v>395</v>
      </c>
      <c r="D397" s="5">
        <f t="shared" si="6"/>
        <v>2.5919908029994904E-3</v>
      </c>
    </row>
    <row r="398" spans="1:4" x14ac:dyDescent="0.3">
      <c r="A398" s="3">
        <v>45008</v>
      </c>
      <c r="B398" s="4">
        <v>17076.900000000001</v>
      </c>
      <c r="C398" s="7">
        <v>396</v>
      </c>
      <c r="D398" s="5">
        <f t="shared" si="6"/>
        <v>-4.3822815890368141E-3</v>
      </c>
    </row>
    <row r="399" spans="1:4" x14ac:dyDescent="0.3">
      <c r="A399" s="3">
        <v>45009</v>
      </c>
      <c r="B399" s="4">
        <v>16945.05</v>
      </c>
      <c r="C399" s="7">
        <v>397</v>
      </c>
      <c r="D399" s="5">
        <f t="shared" si="6"/>
        <v>-7.7509172808900607E-3</v>
      </c>
    </row>
    <row r="400" spans="1:4" x14ac:dyDescent="0.3">
      <c r="A400" s="3">
        <v>45012</v>
      </c>
      <c r="B400" s="4">
        <v>16985.7</v>
      </c>
      <c r="C400" s="7">
        <v>398</v>
      </c>
      <c r="D400" s="5">
        <f t="shared" si="6"/>
        <v>2.3960578205877384E-3</v>
      </c>
    </row>
    <row r="401" spans="1:4" x14ac:dyDescent="0.3">
      <c r="A401" s="3">
        <v>45013</v>
      </c>
      <c r="B401" s="4">
        <v>16951.7</v>
      </c>
      <c r="C401" s="7">
        <v>399</v>
      </c>
      <c r="D401" s="5">
        <f t="shared" si="6"/>
        <v>-2.0036898156717883E-3</v>
      </c>
    </row>
    <row r="402" spans="1:4" x14ac:dyDescent="0.3">
      <c r="A402" s="3">
        <v>45014</v>
      </c>
      <c r="B402" s="4">
        <v>17080.7</v>
      </c>
      <c r="C402" s="7">
        <v>400</v>
      </c>
      <c r="D402" s="5">
        <f t="shared" si="6"/>
        <v>7.5810473446718757E-3</v>
      </c>
    </row>
    <row r="403" spans="1:4" x14ac:dyDescent="0.3">
      <c r="A403" s="3">
        <v>45016</v>
      </c>
      <c r="B403" s="4">
        <v>17359.75</v>
      </c>
      <c r="C403" s="7">
        <v>401</v>
      </c>
      <c r="D403" s="5">
        <f t="shared" si="6"/>
        <v>1.6205137079674727E-2</v>
      </c>
    </row>
    <row r="404" spans="1:4" x14ac:dyDescent="0.3">
      <c r="A404" s="3">
        <v>45019</v>
      </c>
      <c r="B404" s="4">
        <v>17398.05</v>
      </c>
      <c r="C404" s="7">
        <v>402</v>
      </c>
      <c r="D404" s="5">
        <f t="shared" si="6"/>
        <v>2.2038227679195624E-3</v>
      </c>
    </row>
    <row r="405" spans="1:4" x14ac:dyDescent="0.3">
      <c r="A405" s="3">
        <v>45021</v>
      </c>
      <c r="B405" s="4">
        <v>17557.05</v>
      </c>
      <c r="C405" s="7">
        <v>403</v>
      </c>
      <c r="D405" s="5">
        <f t="shared" si="6"/>
        <v>9.0974476751935936E-3</v>
      </c>
    </row>
    <row r="406" spans="1:4" x14ac:dyDescent="0.3">
      <c r="A406" s="3">
        <v>45022</v>
      </c>
      <c r="B406" s="4">
        <v>17599.150000000001</v>
      </c>
      <c r="C406" s="7">
        <v>404</v>
      </c>
      <c r="D406" s="5">
        <f t="shared" si="6"/>
        <v>2.3950267733336621E-3</v>
      </c>
    </row>
    <row r="407" spans="1:4" x14ac:dyDescent="0.3">
      <c r="A407" s="3">
        <v>45026</v>
      </c>
      <c r="B407" s="4">
        <v>17624.05</v>
      </c>
      <c r="C407" s="7">
        <v>405</v>
      </c>
      <c r="D407" s="5">
        <f t="shared" si="6"/>
        <v>1.4138411131193697E-3</v>
      </c>
    </row>
    <row r="408" spans="1:4" x14ac:dyDescent="0.3">
      <c r="A408" s="3">
        <v>45027</v>
      </c>
      <c r="B408" s="4">
        <v>17722.3</v>
      </c>
      <c r="C408" s="7">
        <v>406</v>
      </c>
      <c r="D408" s="5">
        <f t="shared" si="6"/>
        <v>5.5592870573658824E-3</v>
      </c>
    </row>
    <row r="409" spans="1:4" x14ac:dyDescent="0.3">
      <c r="A409" s="3">
        <v>45028</v>
      </c>
      <c r="B409" s="4">
        <v>17812.400000000001</v>
      </c>
      <c r="C409" s="7">
        <v>407</v>
      </c>
      <c r="D409" s="5">
        <f t="shared" si="6"/>
        <v>5.0711103842399786E-3</v>
      </c>
    </row>
    <row r="410" spans="1:4" x14ac:dyDescent="0.3">
      <c r="A410" s="3">
        <v>45029</v>
      </c>
      <c r="B410" s="4">
        <v>17828</v>
      </c>
      <c r="C410" s="7">
        <v>408</v>
      </c>
      <c r="D410" s="5">
        <f t="shared" si="6"/>
        <v>8.7541110628643569E-4</v>
      </c>
    </row>
    <row r="411" spans="1:4" x14ac:dyDescent="0.3">
      <c r="A411" s="3">
        <v>45033</v>
      </c>
      <c r="B411" s="4">
        <v>17706.849999999999</v>
      </c>
      <c r="C411" s="7">
        <v>409</v>
      </c>
      <c r="D411" s="5">
        <f t="shared" si="6"/>
        <v>-6.8186847221795004E-3</v>
      </c>
    </row>
    <row r="412" spans="1:4" x14ac:dyDescent="0.3">
      <c r="A412" s="3">
        <v>45034</v>
      </c>
      <c r="B412" s="4">
        <v>17660.150000000001</v>
      </c>
      <c r="C412" s="7">
        <v>410</v>
      </c>
      <c r="D412" s="5">
        <f t="shared" si="6"/>
        <v>-2.6408814511533168E-3</v>
      </c>
    </row>
    <row r="413" spans="1:4" x14ac:dyDescent="0.3">
      <c r="A413" s="3">
        <v>45035</v>
      </c>
      <c r="B413" s="4">
        <v>17618.75</v>
      </c>
      <c r="C413" s="7">
        <v>411</v>
      </c>
      <c r="D413" s="5">
        <f t="shared" si="6"/>
        <v>-2.3470130306909674E-3</v>
      </c>
    </row>
    <row r="414" spans="1:4" x14ac:dyDescent="0.3">
      <c r="A414" s="3">
        <v>45036</v>
      </c>
      <c r="B414" s="4">
        <v>17624.45</v>
      </c>
      <c r="C414" s="7">
        <v>412</v>
      </c>
      <c r="D414" s="5">
        <f t="shared" si="6"/>
        <v>3.2346665738081727E-4</v>
      </c>
    </row>
    <row r="415" spans="1:4" x14ac:dyDescent="0.3">
      <c r="A415" s="3">
        <v>45037</v>
      </c>
      <c r="B415" s="4">
        <v>17624.05</v>
      </c>
      <c r="C415" s="7">
        <v>413</v>
      </c>
      <c r="D415" s="5">
        <f t="shared" si="6"/>
        <v>-2.2696001249353279E-5</v>
      </c>
    </row>
    <row r="416" spans="1:4" x14ac:dyDescent="0.3">
      <c r="A416" s="3">
        <v>45040</v>
      </c>
      <c r="B416" s="4">
        <v>17743.400000000001</v>
      </c>
      <c r="C416" s="7">
        <v>414</v>
      </c>
      <c r="D416" s="5">
        <f t="shared" si="6"/>
        <v>6.7491692528103258E-3</v>
      </c>
    </row>
    <row r="417" spans="1:4" x14ac:dyDescent="0.3">
      <c r="A417" s="3">
        <v>45041</v>
      </c>
      <c r="B417" s="4">
        <v>17769.25</v>
      </c>
      <c r="C417" s="7">
        <v>415</v>
      </c>
      <c r="D417" s="5">
        <f t="shared" si="6"/>
        <v>1.4558195215261978E-3</v>
      </c>
    </row>
    <row r="418" spans="1:4" x14ac:dyDescent="0.3">
      <c r="A418" s="3">
        <v>45042</v>
      </c>
      <c r="B418" s="4">
        <v>17813.599999999999</v>
      </c>
      <c r="C418" s="7">
        <v>416</v>
      </c>
      <c r="D418" s="5">
        <f t="shared" si="6"/>
        <v>2.4927751973571103E-3</v>
      </c>
    </row>
    <row r="419" spans="1:4" x14ac:dyDescent="0.3">
      <c r="A419" s="3">
        <v>45043</v>
      </c>
      <c r="B419" s="4">
        <v>17915.05</v>
      </c>
      <c r="C419" s="7">
        <v>417</v>
      </c>
      <c r="D419" s="5">
        <f t="shared" si="6"/>
        <v>5.6789312022102979E-3</v>
      </c>
    </row>
    <row r="420" spans="1:4" x14ac:dyDescent="0.3">
      <c r="A420" s="3">
        <v>45044</v>
      </c>
      <c r="B420" s="4">
        <v>18065</v>
      </c>
      <c r="C420" s="7">
        <v>418</v>
      </c>
      <c r="D420" s="5">
        <f t="shared" si="6"/>
        <v>8.3352228892828832E-3</v>
      </c>
    </row>
    <row r="421" spans="1:4" x14ac:dyDescent="0.3">
      <c r="A421" s="3">
        <v>45048</v>
      </c>
      <c r="B421" s="4">
        <v>18147.650000000001</v>
      </c>
      <c r="C421" s="7">
        <v>419</v>
      </c>
      <c r="D421" s="5">
        <f t="shared" si="6"/>
        <v>4.564711144417706E-3</v>
      </c>
    </row>
    <row r="422" spans="1:4" x14ac:dyDescent="0.3">
      <c r="A422" s="3">
        <v>45049</v>
      </c>
      <c r="B422" s="4">
        <v>18089.849999999999</v>
      </c>
      <c r="C422" s="7">
        <v>420</v>
      </c>
      <c r="D422" s="5">
        <f t="shared" si="6"/>
        <v>-3.190068245158949E-3</v>
      </c>
    </row>
    <row r="423" spans="1:4" x14ac:dyDescent="0.3">
      <c r="A423" s="3">
        <v>45050</v>
      </c>
      <c r="B423" s="4">
        <v>18255.8</v>
      </c>
      <c r="C423" s="7">
        <v>421</v>
      </c>
      <c r="D423" s="5">
        <f t="shared" si="6"/>
        <v>9.1318302584812369E-3</v>
      </c>
    </row>
    <row r="424" spans="1:4" x14ac:dyDescent="0.3">
      <c r="A424" s="3">
        <v>45051</v>
      </c>
      <c r="B424" s="4">
        <v>18069</v>
      </c>
      <c r="C424" s="7">
        <v>422</v>
      </c>
      <c r="D424" s="5">
        <f t="shared" si="6"/>
        <v>-1.0285075027649962E-2</v>
      </c>
    </row>
    <row r="425" spans="1:4" x14ac:dyDescent="0.3">
      <c r="A425" s="3">
        <v>45054</v>
      </c>
      <c r="B425" s="4">
        <v>18264.400000000001</v>
      </c>
      <c r="C425" s="7">
        <v>423</v>
      </c>
      <c r="D425" s="5">
        <f t="shared" si="6"/>
        <v>1.075604726542361E-2</v>
      </c>
    </row>
    <row r="426" spans="1:4" x14ac:dyDescent="0.3">
      <c r="A426" s="3">
        <v>45055</v>
      </c>
      <c r="B426" s="4">
        <v>18265.95</v>
      </c>
      <c r="C426" s="7">
        <v>424</v>
      </c>
      <c r="D426" s="5">
        <f t="shared" si="6"/>
        <v>8.4860944443795967E-5</v>
      </c>
    </row>
    <row r="427" spans="1:4" x14ac:dyDescent="0.3">
      <c r="A427" s="3">
        <v>45056</v>
      </c>
      <c r="B427" s="4">
        <v>18315.099999999999</v>
      </c>
      <c r="C427" s="7">
        <v>425</v>
      </c>
      <c r="D427" s="5">
        <f t="shared" si="6"/>
        <v>2.6871852817707963E-3</v>
      </c>
    </row>
    <row r="428" spans="1:4" x14ac:dyDescent="0.3">
      <c r="A428" s="3">
        <v>45057</v>
      </c>
      <c r="B428" s="4">
        <v>18297</v>
      </c>
      <c r="C428" s="7">
        <v>426</v>
      </c>
      <c r="D428" s="5">
        <f t="shared" si="6"/>
        <v>-9.8874423890292907E-4</v>
      </c>
    </row>
    <row r="429" spans="1:4" x14ac:dyDescent="0.3">
      <c r="A429" s="3">
        <v>45058</v>
      </c>
      <c r="B429" s="4">
        <v>18314.8</v>
      </c>
      <c r="C429" s="7">
        <v>427</v>
      </c>
      <c r="D429" s="5">
        <f t="shared" si="6"/>
        <v>9.723641778049823E-4</v>
      </c>
    </row>
    <row r="430" spans="1:4" x14ac:dyDescent="0.3">
      <c r="A430" s="3">
        <v>45061</v>
      </c>
      <c r="B430" s="4">
        <v>18398.849999999999</v>
      </c>
      <c r="C430" s="7">
        <v>428</v>
      </c>
      <c r="D430" s="5">
        <f t="shared" si="6"/>
        <v>4.5786865014996328E-3</v>
      </c>
    </row>
    <row r="431" spans="1:4" x14ac:dyDescent="0.3">
      <c r="A431" s="3">
        <v>45062</v>
      </c>
      <c r="B431" s="4">
        <v>18286.5</v>
      </c>
      <c r="C431" s="7">
        <v>429</v>
      </c>
      <c r="D431" s="5">
        <f t="shared" si="6"/>
        <v>-6.1250799705598689E-3</v>
      </c>
    </row>
    <row r="432" spans="1:4" x14ac:dyDescent="0.3">
      <c r="A432" s="3">
        <v>45063</v>
      </c>
      <c r="B432" s="4">
        <v>18181.75</v>
      </c>
      <c r="C432" s="7">
        <v>430</v>
      </c>
      <c r="D432" s="5">
        <f t="shared" si="6"/>
        <v>-5.7447389485387043E-3</v>
      </c>
    </row>
    <row r="433" spans="1:4" x14ac:dyDescent="0.3">
      <c r="A433" s="3">
        <v>45064</v>
      </c>
      <c r="B433" s="4">
        <v>18129.95</v>
      </c>
      <c r="C433" s="7">
        <v>431</v>
      </c>
      <c r="D433" s="5">
        <f t="shared" si="6"/>
        <v>-2.8530768395788001E-3</v>
      </c>
    </row>
    <row r="434" spans="1:4" x14ac:dyDescent="0.3">
      <c r="A434" s="3">
        <v>45065</v>
      </c>
      <c r="B434" s="4">
        <v>18203.400000000001</v>
      </c>
      <c r="C434" s="7">
        <v>432</v>
      </c>
      <c r="D434" s="5">
        <f t="shared" si="6"/>
        <v>4.0431229190964193E-3</v>
      </c>
    </row>
    <row r="435" spans="1:4" x14ac:dyDescent="0.3">
      <c r="A435" s="3">
        <v>45068</v>
      </c>
      <c r="B435" s="4">
        <v>18314.400000000001</v>
      </c>
      <c r="C435" s="7">
        <v>433</v>
      </c>
      <c r="D435" s="5">
        <f t="shared" si="6"/>
        <v>6.0792458392437739E-3</v>
      </c>
    </row>
    <row r="436" spans="1:4" x14ac:dyDescent="0.3">
      <c r="A436" s="3">
        <v>45069</v>
      </c>
      <c r="B436" s="4">
        <v>18348</v>
      </c>
      <c r="C436" s="7">
        <v>434</v>
      </c>
      <c r="D436" s="5">
        <f t="shared" si="6"/>
        <v>1.8329410735294929E-3</v>
      </c>
    </row>
    <row r="437" spans="1:4" x14ac:dyDescent="0.3">
      <c r="A437" s="3">
        <v>45070</v>
      </c>
      <c r="B437" s="4">
        <v>18285.400000000001</v>
      </c>
      <c r="C437" s="7">
        <v>435</v>
      </c>
      <c r="D437" s="5">
        <f t="shared" si="6"/>
        <v>-3.4176495183284154E-3</v>
      </c>
    </row>
    <row r="438" spans="1:4" x14ac:dyDescent="0.3">
      <c r="A438" s="3">
        <v>45071</v>
      </c>
      <c r="B438" s="4">
        <v>18321.150000000001</v>
      </c>
      <c r="C438" s="7">
        <v>436</v>
      </c>
      <c r="D438" s="5">
        <f t="shared" si="6"/>
        <v>1.953202985013659E-3</v>
      </c>
    </row>
    <row r="439" spans="1:4" x14ac:dyDescent="0.3">
      <c r="A439" s="3">
        <v>45072</v>
      </c>
      <c r="B439" s="4">
        <v>18499.349999999999</v>
      </c>
      <c r="C439" s="7">
        <v>437</v>
      </c>
      <c r="D439" s="5">
        <f t="shared" si="6"/>
        <v>9.6794661302798419E-3</v>
      </c>
    </row>
    <row r="440" spans="1:4" x14ac:dyDescent="0.3">
      <c r="A440" s="3">
        <v>45075</v>
      </c>
      <c r="B440" s="4">
        <v>18598.650000000001</v>
      </c>
      <c r="C440" s="7">
        <v>438</v>
      </c>
      <c r="D440" s="5">
        <f t="shared" si="6"/>
        <v>5.3534011080012102E-3</v>
      </c>
    </row>
    <row r="441" spans="1:4" x14ac:dyDescent="0.3">
      <c r="A441" s="3">
        <v>45076</v>
      </c>
      <c r="B441" s="4">
        <v>18633.849999999999</v>
      </c>
      <c r="C441" s="7">
        <v>439</v>
      </c>
      <c r="D441" s="5">
        <f t="shared" si="6"/>
        <v>1.8908217545032591E-3</v>
      </c>
    </row>
    <row r="442" spans="1:4" x14ac:dyDescent="0.3">
      <c r="A442" s="3">
        <v>45077</v>
      </c>
      <c r="B442" s="4">
        <v>18534.400000000001</v>
      </c>
      <c r="C442" s="7">
        <v>440</v>
      </c>
      <c r="D442" s="5">
        <f t="shared" si="6"/>
        <v>-5.3513543052989016E-3</v>
      </c>
    </row>
    <row r="443" spans="1:4" x14ac:dyDescent="0.3">
      <c r="A443" s="3">
        <v>45078</v>
      </c>
      <c r="B443" s="4">
        <v>18487.75</v>
      </c>
      <c r="C443" s="7">
        <v>441</v>
      </c>
      <c r="D443" s="5">
        <f t="shared" si="6"/>
        <v>-2.5201142931687418E-3</v>
      </c>
    </row>
    <row r="444" spans="1:4" x14ac:dyDescent="0.3">
      <c r="A444" s="3">
        <v>45079</v>
      </c>
      <c r="B444" s="4">
        <v>18534.099999999999</v>
      </c>
      <c r="C444" s="7">
        <v>442</v>
      </c>
      <c r="D444" s="5">
        <f t="shared" si="6"/>
        <v>2.5039280433874476E-3</v>
      </c>
    </row>
    <row r="445" spans="1:4" x14ac:dyDescent="0.3">
      <c r="A445" s="3">
        <v>45082</v>
      </c>
      <c r="B445" s="4">
        <v>18593.849999999999</v>
      </c>
      <c r="C445" s="7">
        <v>443</v>
      </c>
      <c r="D445" s="5">
        <f t="shared" si="6"/>
        <v>3.2186022433864751E-3</v>
      </c>
    </row>
    <row r="446" spans="1:4" x14ac:dyDescent="0.3">
      <c r="A446" s="3">
        <v>45083</v>
      </c>
      <c r="B446" s="4">
        <v>18599</v>
      </c>
      <c r="C446" s="7">
        <v>444</v>
      </c>
      <c r="D446" s="5">
        <f t="shared" si="6"/>
        <v>2.7693495028842678E-4</v>
      </c>
    </row>
    <row r="447" spans="1:4" x14ac:dyDescent="0.3">
      <c r="A447" s="3">
        <v>45084</v>
      </c>
      <c r="B447" s="4">
        <v>18726.400000000001</v>
      </c>
      <c r="C447" s="7">
        <v>445</v>
      </c>
      <c r="D447" s="5">
        <f t="shared" si="6"/>
        <v>6.826477130569099E-3</v>
      </c>
    </row>
    <row r="448" spans="1:4" x14ac:dyDescent="0.3">
      <c r="A448" s="3">
        <v>45085</v>
      </c>
      <c r="B448" s="4">
        <v>18634.55</v>
      </c>
      <c r="C448" s="7">
        <v>446</v>
      </c>
      <c r="D448" s="5">
        <f t="shared" si="6"/>
        <v>-4.9169084323055657E-3</v>
      </c>
    </row>
    <row r="449" spans="1:4" x14ac:dyDescent="0.3">
      <c r="A449" s="3">
        <v>45086</v>
      </c>
      <c r="B449" s="4">
        <v>18563.400000000001</v>
      </c>
      <c r="C449" s="7">
        <v>447</v>
      </c>
      <c r="D449" s="5">
        <f t="shared" si="6"/>
        <v>-3.8254842952022451E-3</v>
      </c>
    </row>
    <row r="450" spans="1:4" x14ac:dyDescent="0.3">
      <c r="A450" s="3">
        <v>45089</v>
      </c>
      <c r="B450" s="4">
        <v>18601.5</v>
      </c>
      <c r="C450" s="7">
        <v>448</v>
      </c>
      <c r="D450" s="5">
        <f t="shared" si="6"/>
        <v>2.0503223927487504E-3</v>
      </c>
    </row>
    <row r="451" spans="1:4" x14ac:dyDescent="0.3">
      <c r="A451" s="3">
        <v>45090</v>
      </c>
      <c r="B451" s="4">
        <v>18716.150000000001</v>
      </c>
      <c r="C451" s="7">
        <v>449</v>
      </c>
      <c r="D451" s="5">
        <f t="shared" ref="D451:D514" si="7">LN(B451/B450)</f>
        <v>6.1445648760739416E-3</v>
      </c>
    </row>
    <row r="452" spans="1:4" x14ac:dyDescent="0.3">
      <c r="A452" s="3">
        <v>45091</v>
      </c>
      <c r="B452" s="4">
        <v>18755.900000000001</v>
      </c>
      <c r="C452" s="7">
        <v>450</v>
      </c>
      <c r="D452" s="5">
        <f t="shared" si="7"/>
        <v>2.1215820810404676E-3</v>
      </c>
    </row>
    <row r="453" spans="1:4" x14ac:dyDescent="0.3">
      <c r="A453" s="3">
        <v>45092</v>
      </c>
      <c r="B453" s="4">
        <v>18688.099999999999</v>
      </c>
      <c r="C453" s="7">
        <v>451</v>
      </c>
      <c r="D453" s="5">
        <f t="shared" si="7"/>
        <v>-3.6214119270170913E-3</v>
      </c>
    </row>
    <row r="454" spans="1:4" x14ac:dyDescent="0.3">
      <c r="A454" s="3">
        <v>45093</v>
      </c>
      <c r="B454" s="4">
        <v>18826</v>
      </c>
      <c r="C454" s="7">
        <v>452</v>
      </c>
      <c r="D454" s="5">
        <f t="shared" si="7"/>
        <v>7.3519354661314941E-3</v>
      </c>
    </row>
    <row r="455" spans="1:4" x14ac:dyDescent="0.3">
      <c r="A455" s="3">
        <v>45096</v>
      </c>
      <c r="B455" s="4">
        <v>18755.45</v>
      </c>
      <c r="C455" s="7">
        <v>453</v>
      </c>
      <c r="D455" s="5">
        <f t="shared" si="7"/>
        <v>-3.7545162773133895E-3</v>
      </c>
    </row>
    <row r="456" spans="1:4" x14ac:dyDescent="0.3">
      <c r="A456" s="3">
        <v>45097</v>
      </c>
      <c r="B456" s="4">
        <v>18816.7</v>
      </c>
      <c r="C456" s="7">
        <v>454</v>
      </c>
      <c r="D456" s="5">
        <f t="shared" si="7"/>
        <v>3.2603965574623172E-3</v>
      </c>
    </row>
    <row r="457" spans="1:4" x14ac:dyDescent="0.3">
      <c r="A457" s="3">
        <v>45098</v>
      </c>
      <c r="B457" s="4">
        <v>18856.849999999999</v>
      </c>
      <c r="C457" s="7">
        <v>455</v>
      </c>
      <c r="D457" s="5">
        <f t="shared" si="7"/>
        <v>2.1314697022533084E-3</v>
      </c>
    </row>
    <row r="458" spans="1:4" x14ac:dyDescent="0.3">
      <c r="A458" s="3">
        <v>45099</v>
      </c>
      <c r="B458" s="4">
        <v>18771.25</v>
      </c>
      <c r="C458" s="7">
        <v>456</v>
      </c>
      <c r="D458" s="5">
        <f t="shared" si="7"/>
        <v>-4.5497990950773125E-3</v>
      </c>
    </row>
    <row r="459" spans="1:4" x14ac:dyDescent="0.3">
      <c r="A459" s="3">
        <v>45100</v>
      </c>
      <c r="B459" s="4">
        <v>18665.5</v>
      </c>
      <c r="C459" s="7">
        <v>457</v>
      </c>
      <c r="D459" s="5">
        <f t="shared" si="7"/>
        <v>-5.6495438985202338E-3</v>
      </c>
    </row>
    <row r="460" spans="1:4" x14ac:dyDescent="0.3">
      <c r="A460" s="3">
        <v>45103</v>
      </c>
      <c r="B460" s="4">
        <v>18691.2</v>
      </c>
      <c r="C460" s="7">
        <v>458</v>
      </c>
      <c r="D460" s="5">
        <f t="shared" si="7"/>
        <v>1.3759247500199831E-3</v>
      </c>
    </row>
    <row r="461" spans="1:4" x14ac:dyDescent="0.3">
      <c r="A461" s="3">
        <v>45104</v>
      </c>
      <c r="B461" s="4">
        <v>18817.400000000001</v>
      </c>
      <c r="C461" s="7">
        <v>459</v>
      </c>
      <c r="D461" s="5">
        <f t="shared" si="7"/>
        <v>6.729148846371014E-3</v>
      </c>
    </row>
    <row r="462" spans="1:4" x14ac:dyDescent="0.3">
      <c r="A462" s="3">
        <v>45105</v>
      </c>
      <c r="B462" s="4">
        <v>18972.099999999999</v>
      </c>
      <c r="C462" s="7">
        <v>460</v>
      </c>
      <c r="D462" s="5">
        <f t="shared" si="7"/>
        <v>8.1875052167941238E-3</v>
      </c>
    </row>
    <row r="463" spans="1:4" x14ac:dyDescent="0.3">
      <c r="A463" s="3">
        <v>45107</v>
      </c>
      <c r="B463" s="4">
        <v>19189.05</v>
      </c>
      <c r="C463" s="7">
        <v>461</v>
      </c>
      <c r="D463" s="5">
        <f t="shared" si="7"/>
        <v>1.1370324916684512E-2</v>
      </c>
    </row>
    <row r="464" spans="1:4" x14ac:dyDescent="0.3">
      <c r="A464" s="3">
        <v>45110</v>
      </c>
      <c r="B464" s="4">
        <v>19322.55</v>
      </c>
      <c r="C464" s="7">
        <v>462</v>
      </c>
      <c r="D464" s="5">
        <f t="shared" si="7"/>
        <v>6.9330038087148356E-3</v>
      </c>
    </row>
    <row r="465" spans="1:4" x14ac:dyDescent="0.3">
      <c r="A465" s="3">
        <v>45111</v>
      </c>
      <c r="B465" s="4">
        <v>19389</v>
      </c>
      <c r="C465" s="7">
        <v>463</v>
      </c>
      <c r="D465" s="5">
        <f t="shared" si="7"/>
        <v>3.4330872964505156E-3</v>
      </c>
    </row>
    <row r="466" spans="1:4" x14ac:dyDescent="0.3">
      <c r="A466" s="3">
        <v>45112</v>
      </c>
      <c r="B466" s="4">
        <v>19398.5</v>
      </c>
      <c r="C466" s="7">
        <v>464</v>
      </c>
      <c r="D466" s="5">
        <f t="shared" si="7"/>
        <v>4.8984854347202441E-4</v>
      </c>
    </row>
    <row r="467" spans="1:4" x14ac:dyDescent="0.3">
      <c r="A467" s="3">
        <v>45113</v>
      </c>
      <c r="B467" s="4">
        <v>19497.3</v>
      </c>
      <c r="C467" s="7">
        <v>465</v>
      </c>
      <c r="D467" s="5">
        <f t="shared" si="7"/>
        <v>5.0802509522156619E-3</v>
      </c>
    </row>
    <row r="468" spans="1:4" x14ac:dyDescent="0.3">
      <c r="A468" s="3">
        <v>45114</v>
      </c>
      <c r="B468" s="4">
        <v>19331.8</v>
      </c>
      <c r="C468" s="7">
        <v>466</v>
      </c>
      <c r="D468" s="5">
        <f t="shared" si="7"/>
        <v>-8.524586056305487E-3</v>
      </c>
    </row>
    <row r="469" spans="1:4" x14ac:dyDescent="0.3">
      <c r="A469" s="3">
        <v>45117</v>
      </c>
      <c r="B469" s="4">
        <v>19355.900000000001</v>
      </c>
      <c r="C469" s="7">
        <v>467</v>
      </c>
      <c r="D469" s="5">
        <f t="shared" si="7"/>
        <v>1.2458741727910268E-3</v>
      </c>
    </row>
    <row r="470" spans="1:4" x14ac:dyDescent="0.3">
      <c r="A470" s="3">
        <v>45118</v>
      </c>
      <c r="B470" s="4">
        <v>19439.400000000001</v>
      </c>
      <c r="C470" s="7">
        <v>468</v>
      </c>
      <c r="D470" s="5">
        <f t="shared" si="7"/>
        <v>4.3046517974119156E-3</v>
      </c>
    </row>
    <row r="471" spans="1:4" x14ac:dyDescent="0.3">
      <c r="A471" s="3">
        <v>45119</v>
      </c>
      <c r="B471" s="4">
        <v>19384.3</v>
      </c>
      <c r="C471" s="7">
        <v>469</v>
      </c>
      <c r="D471" s="5">
        <f t="shared" si="7"/>
        <v>-2.8384742821917232E-3</v>
      </c>
    </row>
    <row r="472" spans="1:4" x14ac:dyDescent="0.3">
      <c r="A472" s="3">
        <v>45120</v>
      </c>
      <c r="B472" s="4">
        <v>19413.75</v>
      </c>
      <c r="C472" s="7">
        <v>470</v>
      </c>
      <c r="D472" s="5">
        <f t="shared" si="7"/>
        <v>1.5181178258223326E-3</v>
      </c>
    </row>
    <row r="473" spans="1:4" x14ac:dyDescent="0.3">
      <c r="A473" s="3">
        <v>45121</v>
      </c>
      <c r="B473" s="4">
        <v>19564.5</v>
      </c>
      <c r="C473" s="7">
        <v>471</v>
      </c>
      <c r="D473" s="5">
        <f t="shared" si="7"/>
        <v>7.735121594226721E-3</v>
      </c>
    </row>
    <row r="474" spans="1:4" x14ac:dyDescent="0.3">
      <c r="A474" s="3">
        <v>45124</v>
      </c>
      <c r="B474" s="4">
        <v>19711.45</v>
      </c>
      <c r="C474" s="7">
        <v>472</v>
      </c>
      <c r="D474" s="5">
        <f t="shared" si="7"/>
        <v>7.4829856798224494E-3</v>
      </c>
    </row>
    <row r="475" spans="1:4" x14ac:dyDescent="0.3">
      <c r="A475" s="3">
        <v>45125</v>
      </c>
      <c r="B475" s="4">
        <v>19749.25</v>
      </c>
      <c r="C475" s="7">
        <v>473</v>
      </c>
      <c r="D475" s="5">
        <f t="shared" si="7"/>
        <v>1.9158307663970271E-3</v>
      </c>
    </row>
    <row r="476" spans="1:4" x14ac:dyDescent="0.3">
      <c r="A476" s="3">
        <v>45126</v>
      </c>
      <c r="B476" s="4">
        <v>19833.150000000001</v>
      </c>
      <c r="C476" s="7">
        <v>474</v>
      </c>
      <c r="D476" s="5">
        <f t="shared" si="7"/>
        <v>4.2392642007422158E-3</v>
      </c>
    </row>
    <row r="477" spans="1:4" x14ac:dyDescent="0.3">
      <c r="A477" s="3">
        <v>45127</v>
      </c>
      <c r="B477" s="4">
        <v>19979.150000000001</v>
      </c>
      <c r="C477" s="7">
        <v>475</v>
      </c>
      <c r="D477" s="5">
        <f t="shared" si="7"/>
        <v>7.3344496296331371E-3</v>
      </c>
    </row>
    <row r="478" spans="1:4" x14ac:dyDescent="0.3">
      <c r="A478" s="3">
        <v>45128</v>
      </c>
      <c r="B478" s="4">
        <v>19745</v>
      </c>
      <c r="C478" s="7">
        <v>476</v>
      </c>
      <c r="D478" s="5">
        <f t="shared" si="7"/>
        <v>-1.1788935034292592E-2</v>
      </c>
    </row>
    <row r="479" spans="1:4" x14ac:dyDescent="0.3">
      <c r="A479" s="3">
        <v>45131</v>
      </c>
      <c r="B479" s="4">
        <v>19672.349999999999</v>
      </c>
      <c r="C479" s="7">
        <v>477</v>
      </c>
      <c r="D479" s="5">
        <f t="shared" si="7"/>
        <v>-3.6861981977146939E-3</v>
      </c>
    </row>
    <row r="480" spans="1:4" x14ac:dyDescent="0.3">
      <c r="A480" s="3">
        <v>45132</v>
      </c>
      <c r="B480" s="4">
        <v>19680.599999999999</v>
      </c>
      <c r="C480" s="7">
        <v>478</v>
      </c>
      <c r="D480" s="5">
        <f t="shared" si="7"/>
        <v>4.1928242334364116E-4</v>
      </c>
    </row>
    <row r="481" spans="1:4" x14ac:dyDescent="0.3">
      <c r="A481" s="3">
        <v>45133</v>
      </c>
      <c r="B481" s="4">
        <v>19778.3</v>
      </c>
      <c r="C481" s="7">
        <v>479</v>
      </c>
      <c r="D481" s="5">
        <f t="shared" si="7"/>
        <v>4.9519981374134591E-3</v>
      </c>
    </row>
    <row r="482" spans="1:4" x14ac:dyDescent="0.3">
      <c r="A482" s="3">
        <v>45134</v>
      </c>
      <c r="B482" s="4">
        <v>19659.900000000001</v>
      </c>
      <c r="C482" s="7">
        <v>480</v>
      </c>
      <c r="D482" s="5">
        <f t="shared" si="7"/>
        <v>-6.0043488655605838E-3</v>
      </c>
    </row>
    <row r="483" spans="1:4" x14ac:dyDescent="0.3">
      <c r="A483" s="3">
        <v>45135</v>
      </c>
      <c r="B483" s="4">
        <v>19646.05</v>
      </c>
      <c r="C483" s="7">
        <v>481</v>
      </c>
      <c r="D483" s="5">
        <f t="shared" si="7"/>
        <v>-7.0472793931755033E-4</v>
      </c>
    </row>
    <row r="484" spans="1:4" x14ac:dyDescent="0.3">
      <c r="A484" s="3">
        <v>45138</v>
      </c>
      <c r="B484" s="4">
        <v>19753.8</v>
      </c>
      <c r="C484" s="7">
        <v>482</v>
      </c>
      <c r="D484" s="5">
        <f t="shared" si="7"/>
        <v>5.4695776061646278E-3</v>
      </c>
    </row>
    <row r="485" spans="1:4" x14ac:dyDescent="0.3">
      <c r="A485" s="3">
        <v>45139</v>
      </c>
      <c r="B485" s="4">
        <v>19733.55</v>
      </c>
      <c r="C485" s="7">
        <v>483</v>
      </c>
      <c r="D485" s="5">
        <f t="shared" si="7"/>
        <v>-1.0256450116385468E-3</v>
      </c>
    </row>
    <row r="486" spans="1:4" x14ac:dyDescent="0.3">
      <c r="A486" s="3">
        <v>45140</v>
      </c>
      <c r="B486" s="4">
        <v>19526.55</v>
      </c>
      <c r="C486" s="7">
        <v>484</v>
      </c>
      <c r="D486" s="5">
        <f t="shared" si="7"/>
        <v>-1.0545154913078857E-2</v>
      </c>
    </row>
    <row r="487" spans="1:4" x14ac:dyDescent="0.3">
      <c r="A487" s="3">
        <v>45141</v>
      </c>
      <c r="B487" s="4">
        <v>19381.650000000001</v>
      </c>
      <c r="C487" s="7">
        <v>485</v>
      </c>
      <c r="D487" s="5">
        <f t="shared" si="7"/>
        <v>-7.4483358208647541E-3</v>
      </c>
    </row>
    <row r="488" spans="1:4" x14ac:dyDescent="0.3">
      <c r="A488" s="3">
        <v>45142</v>
      </c>
      <c r="B488" s="4">
        <v>19517</v>
      </c>
      <c r="C488" s="7">
        <v>486</v>
      </c>
      <c r="D488" s="5">
        <f t="shared" si="7"/>
        <v>6.9591384917051941E-3</v>
      </c>
    </row>
    <row r="489" spans="1:4" x14ac:dyDescent="0.3">
      <c r="A489" s="3">
        <v>45145</v>
      </c>
      <c r="B489" s="4">
        <v>19597.3</v>
      </c>
      <c r="C489" s="7">
        <v>487</v>
      </c>
      <c r="D489" s="5">
        <f t="shared" si="7"/>
        <v>4.1059209962603233E-3</v>
      </c>
    </row>
    <row r="490" spans="1:4" x14ac:dyDescent="0.3">
      <c r="A490" s="3">
        <v>45146</v>
      </c>
      <c r="B490" s="4">
        <v>19570.849999999999</v>
      </c>
      <c r="C490" s="7">
        <v>488</v>
      </c>
      <c r="D490" s="5">
        <f t="shared" si="7"/>
        <v>-1.3505873532751007E-3</v>
      </c>
    </row>
    <row r="491" spans="1:4" x14ac:dyDescent="0.3">
      <c r="A491" s="3">
        <v>45147</v>
      </c>
      <c r="B491" s="4">
        <v>19632.55</v>
      </c>
      <c r="C491" s="7">
        <v>489</v>
      </c>
      <c r="D491" s="5">
        <f t="shared" si="7"/>
        <v>3.1476887690017655E-3</v>
      </c>
    </row>
    <row r="492" spans="1:4" x14ac:dyDescent="0.3">
      <c r="A492" s="3">
        <v>45148</v>
      </c>
      <c r="B492" s="4">
        <v>19543.099999999999</v>
      </c>
      <c r="C492" s="7">
        <v>490</v>
      </c>
      <c r="D492" s="5">
        <f t="shared" si="7"/>
        <v>-4.5666201045435747E-3</v>
      </c>
    </row>
    <row r="493" spans="1:4" x14ac:dyDescent="0.3">
      <c r="A493" s="3">
        <v>45149</v>
      </c>
      <c r="B493" s="4">
        <v>19428.3</v>
      </c>
      <c r="C493" s="7">
        <v>491</v>
      </c>
      <c r="D493" s="5">
        <f t="shared" si="7"/>
        <v>-5.8915169615944563E-3</v>
      </c>
    </row>
    <row r="494" spans="1:4" x14ac:dyDescent="0.3">
      <c r="A494" s="3">
        <v>45152</v>
      </c>
      <c r="B494" s="4">
        <v>19434.55</v>
      </c>
      <c r="C494" s="7">
        <v>492</v>
      </c>
      <c r="D494" s="5">
        <f t="shared" si="7"/>
        <v>3.2164393779061565E-4</v>
      </c>
    </row>
    <row r="495" spans="1:4" x14ac:dyDescent="0.3">
      <c r="A495" s="3">
        <v>45154</v>
      </c>
      <c r="B495" s="4">
        <v>19465</v>
      </c>
      <c r="C495" s="7">
        <v>493</v>
      </c>
      <c r="D495" s="5">
        <f t="shared" si="7"/>
        <v>1.5655711297147335E-3</v>
      </c>
    </row>
    <row r="496" spans="1:4" x14ac:dyDescent="0.3">
      <c r="A496" s="3">
        <v>45155</v>
      </c>
      <c r="B496" s="4">
        <v>19365.25</v>
      </c>
      <c r="C496" s="7">
        <v>494</v>
      </c>
      <c r="D496" s="5">
        <f t="shared" si="7"/>
        <v>-5.137758290060533E-3</v>
      </c>
    </row>
    <row r="497" spans="1:4" x14ac:dyDescent="0.3">
      <c r="A497" s="3">
        <v>45156</v>
      </c>
      <c r="B497" s="4">
        <v>19310.150000000001</v>
      </c>
      <c r="C497" s="7">
        <v>495</v>
      </c>
      <c r="D497" s="5">
        <f t="shared" si="7"/>
        <v>-2.8493583662490217E-3</v>
      </c>
    </row>
    <row r="498" spans="1:4" x14ac:dyDescent="0.3">
      <c r="A498" s="3">
        <v>45159</v>
      </c>
      <c r="B498" s="4">
        <v>19393.599999999999</v>
      </c>
      <c r="C498" s="7">
        <v>496</v>
      </c>
      <c r="D498" s="5">
        <f t="shared" si="7"/>
        <v>4.3122503280009121E-3</v>
      </c>
    </row>
    <row r="499" spans="1:4" x14ac:dyDescent="0.3">
      <c r="A499" s="3">
        <v>45160</v>
      </c>
      <c r="B499" s="4">
        <v>19396.45</v>
      </c>
      <c r="C499" s="7">
        <v>497</v>
      </c>
      <c r="D499" s="5">
        <f t="shared" si="7"/>
        <v>1.4694489979421606E-4</v>
      </c>
    </row>
    <row r="500" spans="1:4" x14ac:dyDescent="0.3">
      <c r="A500" s="3">
        <v>45161</v>
      </c>
      <c r="B500" s="4">
        <v>19444</v>
      </c>
      <c r="C500" s="7">
        <v>498</v>
      </c>
      <c r="D500" s="5">
        <f t="shared" si="7"/>
        <v>2.4484795493044608E-3</v>
      </c>
    </row>
    <row r="501" spans="1:4" x14ac:dyDescent="0.3">
      <c r="A501" s="3">
        <v>45162</v>
      </c>
      <c r="B501" s="4">
        <v>19386.7</v>
      </c>
      <c r="C501" s="7">
        <v>499</v>
      </c>
      <c r="D501" s="5">
        <f t="shared" si="7"/>
        <v>-2.9512752327599183E-3</v>
      </c>
    </row>
    <row r="502" spans="1:4" x14ac:dyDescent="0.3">
      <c r="A502" s="3">
        <v>45163</v>
      </c>
      <c r="B502" s="4">
        <v>19265.8</v>
      </c>
      <c r="C502" s="7">
        <v>500</v>
      </c>
      <c r="D502" s="5">
        <f t="shared" si="7"/>
        <v>-6.2557606509410085E-3</v>
      </c>
    </row>
    <row r="503" spans="1:4" x14ac:dyDescent="0.3">
      <c r="A503" s="3">
        <v>45166</v>
      </c>
      <c r="B503" s="4">
        <v>19306.05</v>
      </c>
      <c r="C503" s="7">
        <v>501</v>
      </c>
      <c r="D503" s="5">
        <f t="shared" si="7"/>
        <v>2.0870149919961396E-3</v>
      </c>
    </row>
    <row r="504" spans="1:4" x14ac:dyDescent="0.3">
      <c r="A504" s="3">
        <v>45167</v>
      </c>
      <c r="B504" s="4">
        <v>19342.650000000001</v>
      </c>
      <c r="C504" s="7">
        <v>502</v>
      </c>
      <c r="D504" s="5">
        <f t="shared" si="7"/>
        <v>1.8939840636754115E-3</v>
      </c>
    </row>
    <row r="505" spans="1:4" x14ac:dyDescent="0.3">
      <c r="A505" s="3">
        <v>45168</v>
      </c>
      <c r="B505" s="4">
        <v>19347.45</v>
      </c>
      <c r="C505" s="7">
        <v>503</v>
      </c>
      <c r="D505" s="5">
        <f t="shared" si="7"/>
        <v>2.4812549073918429E-4</v>
      </c>
    </row>
    <row r="506" spans="1:4" x14ac:dyDescent="0.3">
      <c r="A506" s="3">
        <v>45169</v>
      </c>
      <c r="B506" s="4">
        <v>19253.8</v>
      </c>
      <c r="C506" s="7">
        <v>504</v>
      </c>
      <c r="D506" s="5">
        <f t="shared" si="7"/>
        <v>-4.8521839960522653E-3</v>
      </c>
    </row>
    <row r="507" spans="1:4" x14ac:dyDescent="0.3">
      <c r="A507" s="3">
        <v>45170</v>
      </c>
      <c r="B507" s="4">
        <v>19435.3</v>
      </c>
      <c r="C507" s="7">
        <v>505</v>
      </c>
      <c r="D507" s="5">
        <f t="shared" si="7"/>
        <v>9.3825564041325141E-3</v>
      </c>
    </row>
    <row r="508" spans="1:4" x14ac:dyDescent="0.3">
      <c r="A508" s="3">
        <v>45173</v>
      </c>
      <c r="B508" s="4">
        <v>19528.8</v>
      </c>
      <c r="C508" s="7">
        <v>506</v>
      </c>
      <c r="D508" s="5">
        <f t="shared" si="7"/>
        <v>4.7992988144208368E-3</v>
      </c>
    </row>
    <row r="509" spans="1:4" x14ac:dyDescent="0.3">
      <c r="A509" s="3">
        <v>45174</v>
      </c>
      <c r="B509" s="4">
        <v>19574.900000000001</v>
      </c>
      <c r="C509" s="7">
        <v>507</v>
      </c>
      <c r="D509" s="5">
        <f t="shared" si="7"/>
        <v>2.3578342385654032E-3</v>
      </c>
    </row>
    <row r="510" spans="1:4" x14ac:dyDescent="0.3">
      <c r="A510" s="3">
        <v>45175</v>
      </c>
      <c r="B510" s="4">
        <v>19611.05</v>
      </c>
      <c r="C510" s="7">
        <v>508</v>
      </c>
      <c r="D510" s="5">
        <f t="shared" si="7"/>
        <v>1.8450495779825536E-3</v>
      </c>
    </row>
    <row r="511" spans="1:4" x14ac:dyDescent="0.3">
      <c r="A511" s="3">
        <v>45176</v>
      </c>
      <c r="B511" s="4">
        <v>19727.05</v>
      </c>
      <c r="C511" s="7">
        <v>509</v>
      </c>
      <c r="D511" s="5">
        <f t="shared" si="7"/>
        <v>5.8976074708040286E-3</v>
      </c>
    </row>
    <row r="512" spans="1:4" x14ac:dyDescent="0.3">
      <c r="A512" s="3">
        <v>45177</v>
      </c>
      <c r="B512" s="4">
        <v>19819.95</v>
      </c>
      <c r="C512" s="7">
        <v>510</v>
      </c>
      <c r="D512" s="5">
        <f t="shared" si="7"/>
        <v>4.6982158385487317E-3</v>
      </c>
    </row>
    <row r="513" spans="1:4" x14ac:dyDescent="0.3">
      <c r="A513" s="3">
        <v>45180</v>
      </c>
      <c r="B513" s="4">
        <v>19996.349999999999</v>
      </c>
      <c r="C513" s="7">
        <v>511</v>
      </c>
      <c r="D513" s="5">
        <f t="shared" si="7"/>
        <v>8.8607507045185847E-3</v>
      </c>
    </row>
    <row r="514" spans="1:4" x14ac:dyDescent="0.3">
      <c r="A514" s="3">
        <v>45181</v>
      </c>
      <c r="B514" s="4">
        <v>19993.2</v>
      </c>
      <c r="C514" s="7">
        <v>512</v>
      </c>
      <c r="D514" s="5">
        <f t="shared" si="7"/>
        <v>-1.5754115795312492E-4</v>
      </c>
    </row>
    <row r="515" spans="1:4" x14ac:dyDescent="0.3">
      <c r="A515" s="3">
        <v>45182</v>
      </c>
      <c r="B515" s="4">
        <v>20070</v>
      </c>
      <c r="C515" s="7">
        <v>513</v>
      </c>
      <c r="D515" s="5">
        <f t="shared" ref="D515:D578" si="8">LN(B515/B514)</f>
        <v>3.833947067360447E-3</v>
      </c>
    </row>
    <row r="516" spans="1:4" x14ac:dyDescent="0.3">
      <c r="A516" s="3">
        <v>45183</v>
      </c>
      <c r="B516" s="4">
        <v>20103.099999999999</v>
      </c>
      <c r="C516" s="7">
        <v>514</v>
      </c>
      <c r="D516" s="5">
        <f t="shared" si="8"/>
        <v>1.6478692204573958E-3</v>
      </c>
    </row>
    <row r="517" spans="1:4" x14ac:dyDescent="0.3">
      <c r="A517" s="3">
        <v>45184</v>
      </c>
      <c r="B517" s="4">
        <v>20192.349999999999</v>
      </c>
      <c r="C517" s="7">
        <v>515</v>
      </c>
      <c r="D517" s="5">
        <f t="shared" si="8"/>
        <v>4.4297877773378114E-3</v>
      </c>
    </row>
    <row r="518" spans="1:4" x14ac:dyDescent="0.3">
      <c r="A518" s="3">
        <v>45187</v>
      </c>
      <c r="B518" s="4">
        <v>20133.3</v>
      </c>
      <c r="C518" s="7">
        <v>516</v>
      </c>
      <c r="D518" s="5">
        <f t="shared" si="8"/>
        <v>-2.9286591638919969E-3</v>
      </c>
    </row>
    <row r="519" spans="1:4" x14ac:dyDescent="0.3">
      <c r="A519" s="3">
        <v>45189</v>
      </c>
      <c r="B519" s="4">
        <v>19901.400000000001</v>
      </c>
      <c r="C519" s="7">
        <v>517</v>
      </c>
      <c r="D519" s="5">
        <f t="shared" si="8"/>
        <v>-1.1585079627478101E-2</v>
      </c>
    </row>
    <row r="520" spans="1:4" x14ac:dyDescent="0.3">
      <c r="A520" s="3">
        <v>45190</v>
      </c>
      <c r="B520" s="4">
        <v>19742.349999999999</v>
      </c>
      <c r="C520" s="7">
        <v>518</v>
      </c>
      <c r="D520" s="5">
        <f t="shared" si="8"/>
        <v>-8.0240064758942062E-3</v>
      </c>
    </row>
    <row r="521" spans="1:4" x14ac:dyDescent="0.3">
      <c r="A521" s="3">
        <v>45191</v>
      </c>
      <c r="B521" s="4">
        <v>19674.25</v>
      </c>
      <c r="C521" s="7">
        <v>519</v>
      </c>
      <c r="D521" s="5">
        <f t="shared" si="8"/>
        <v>-3.45540040278986E-3</v>
      </c>
    </row>
    <row r="522" spans="1:4" x14ac:dyDescent="0.3">
      <c r="A522" s="3">
        <v>45194</v>
      </c>
      <c r="B522" s="4">
        <v>19674.55</v>
      </c>
      <c r="C522" s="7">
        <v>520</v>
      </c>
      <c r="D522" s="5">
        <f t="shared" si="8"/>
        <v>1.5248241369763049E-5</v>
      </c>
    </row>
    <row r="523" spans="1:4" x14ac:dyDescent="0.3">
      <c r="A523" s="3">
        <v>45195</v>
      </c>
      <c r="B523" s="4">
        <v>19664.7</v>
      </c>
      <c r="C523" s="7">
        <v>521</v>
      </c>
      <c r="D523" s="5">
        <f t="shared" si="8"/>
        <v>-5.00772140080995E-4</v>
      </c>
    </row>
    <row r="524" spans="1:4" x14ac:dyDescent="0.3">
      <c r="A524" s="3">
        <v>45196</v>
      </c>
      <c r="B524" s="4">
        <v>19716.45</v>
      </c>
      <c r="C524" s="7">
        <v>522</v>
      </c>
      <c r="D524" s="5">
        <f t="shared" si="8"/>
        <v>2.6281624476409476E-3</v>
      </c>
    </row>
    <row r="525" spans="1:4" x14ac:dyDescent="0.3">
      <c r="A525" s="3">
        <v>45197</v>
      </c>
      <c r="B525" s="4">
        <v>19523.55</v>
      </c>
      <c r="C525" s="7">
        <v>523</v>
      </c>
      <c r="D525" s="5">
        <f t="shared" si="8"/>
        <v>-9.8318834812623906E-3</v>
      </c>
    </row>
    <row r="526" spans="1:4" x14ac:dyDescent="0.3">
      <c r="A526" s="3">
        <v>45198</v>
      </c>
      <c r="B526" s="4">
        <v>19638.3</v>
      </c>
      <c r="C526" s="7">
        <v>524</v>
      </c>
      <c r="D526" s="5">
        <f t="shared" si="8"/>
        <v>5.860311931494425E-3</v>
      </c>
    </row>
    <row r="527" spans="1:4" x14ac:dyDescent="0.3">
      <c r="A527" s="3">
        <v>45202</v>
      </c>
      <c r="B527" s="4">
        <v>19528.75</v>
      </c>
      <c r="C527" s="7">
        <v>525</v>
      </c>
      <c r="D527" s="5">
        <f t="shared" si="8"/>
        <v>-5.5940023911736723E-3</v>
      </c>
    </row>
    <row r="528" spans="1:4" x14ac:dyDescent="0.3">
      <c r="A528" s="3">
        <v>45203</v>
      </c>
      <c r="B528" s="4">
        <v>19436.099999999999</v>
      </c>
      <c r="C528" s="7">
        <v>526</v>
      </c>
      <c r="D528" s="5">
        <f t="shared" si="8"/>
        <v>-4.7555771219727006E-3</v>
      </c>
    </row>
    <row r="529" spans="1:4" x14ac:dyDescent="0.3">
      <c r="A529" s="3">
        <v>45204</v>
      </c>
      <c r="B529" s="4">
        <v>19545.75</v>
      </c>
      <c r="C529" s="7">
        <v>527</v>
      </c>
      <c r="D529" s="5">
        <f t="shared" si="8"/>
        <v>5.625709872108961E-3</v>
      </c>
    </row>
    <row r="530" spans="1:4" x14ac:dyDescent="0.3">
      <c r="A530" s="3">
        <v>45205</v>
      </c>
      <c r="B530" s="4">
        <v>19653.5</v>
      </c>
      <c r="C530" s="7">
        <v>528</v>
      </c>
      <c r="D530" s="5">
        <f t="shared" si="8"/>
        <v>5.4975680085460219E-3</v>
      </c>
    </row>
    <row r="531" spans="1:4" x14ac:dyDescent="0.3">
      <c r="A531" s="3">
        <v>45208</v>
      </c>
      <c r="B531" s="4">
        <v>19512.349999999999</v>
      </c>
      <c r="C531" s="7">
        <v>529</v>
      </c>
      <c r="D531" s="5">
        <f t="shared" si="8"/>
        <v>-7.2078410705406432E-3</v>
      </c>
    </row>
    <row r="532" spans="1:4" x14ac:dyDescent="0.3">
      <c r="A532" s="3">
        <v>45209</v>
      </c>
      <c r="B532" s="4">
        <v>19689.849999999999</v>
      </c>
      <c r="C532" s="7">
        <v>530</v>
      </c>
      <c r="D532" s="5">
        <f t="shared" si="8"/>
        <v>9.0556761096549799E-3</v>
      </c>
    </row>
    <row r="533" spans="1:4" x14ac:dyDescent="0.3">
      <c r="A533" s="3">
        <v>45210</v>
      </c>
      <c r="B533" s="4">
        <v>19811.349999999999</v>
      </c>
      <c r="C533" s="7">
        <v>531</v>
      </c>
      <c r="D533" s="5">
        <f t="shared" si="8"/>
        <v>6.1517312470612808E-3</v>
      </c>
    </row>
    <row r="534" spans="1:4" x14ac:dyDescent="0.3">
      <c r="A534" s="3">
        <v>45211</v>
      </c>
      <c r="B534" s="4">
        <v>19794</v>
      </c>
      <c r="C534" s="7">
        <v>532</v>
      </c>
      <c r="D534" s="5">
        <f t="shared" si="8"/>
        <v>-8.761443143344063E-4</v>
      </c>
    </row>
    <row r="535" spans="1:4" x14ac:dyDescent="0.3">
      <c r="A535" s="3">
        <v>45212</v>
      </c>
      <c r="B535" s="4">
        <v>19751.05</v>
      </c>
      <c r="C535" s="7">
        <v>533</v>
      </c>
      <c r="D535" s="5">
        <f t="shared" si="8"/>
        <v>-2.1722069835914395E-3</v>
      </c>
    </row>
    <row r="536" spans="1:4" x14ac:dyDescent="0.3">
      <c r="A536" s="3">
        <v>45215</v>
      </c>
      <c r="B536" s="4">
        <v>19731.75</v>
      </c>
      <c r="C536" s="7">
        <v>534</v>
      </c>
      <c r="D536" s="5">
        <f t="shared" si="8"/>
        <v>-9.7764097466312354E-4</v>
      </c>
    </row>
    <row r="537" spans="1:4" x14ac:dyDescent="0.3">
      <c r="A537" s="3">
        <v>45216</v>
      </c>
      <c r="B537" s="4">
        <v>19811.5</v>
      </c>
      <c r="C537" s="7">
        <v>535</v>
      </c>
      <c r="D537" s="5">
        <f t="shared" si="8"/>
        <v>4.0335636613206176E-3</v>
      </c>
    </row>
    <row r="538" spans="1:4" x14ac:dyDescent="0.3">
      <c r="A538" s="3">
        <v>45217</v>
      </c>
      <c r="B538" s="4">
        <v>19671.099999999999</v>
      </c>
      <c r="C538" s="7">
        <v>536</v>
      </c>
      <c r="D538" s="5">
        <f t="shared" si="8"/>
        <v>-7.112023615253143E-3</v>
      </c>
    </row>
    <row r="539" spans="1:4" x14ac:dyDescent="0.3">
      <c r="A539" s="3">
        <v>45218</v>
      </c>
      <c r="B539" s="4">
        <v>19624.7</v>
      </c>
      <c r="C539" s="7">
        <v>537</v>
      </c>
      <c r="D539" s="5">
        <f t="shared" si="8"/>
        <v>-2.3615766348855094E-3</v>
      </c>
    </row>
    <row r="540" spans="1:4" x14ac:dyDescent="0.3">
      <c r="A540" s="3">
        <v>45219</v>
      </c>
      <c r="B540" s="4">
        <v>19542.650000000001</v>
      </c>
      <c r="C540" s="7">
        <v>538</v>
      </c>
      <c r="D540" s="5">
        <f t="shared" si="8"/>
        <v>-4.1897202656687891E-3</v>
      </c>
    </row>
    <row r="541" spans="1:4" x14ac:dyDescent="0.3">
      <c r="A541" s="3">
        <v>45222</v>
      </c>
      <c r="B541" s="4">
        <v>19281.75</v>
      </c>
      <c r="C541" s="7">
        <v>539</v>
      </c>
      <c r="D541" s="5">
        <f t="shared" si="8"/>
        <v>-1.3440203963636189E-2</v>
      </c>
    </row>
    <row r="542" spans="1:4" x14ac:dyDescent="0.3">
      <c r="A542" s="3">
        <v>45224</v>
      </c>
      <c r="B542" s="4">
        <v>19122.150000000001</v>
      </c>
      <c r="C542" s="7">
        <v>540</v>
      </c>
      <c r="D542" s="5">
        <f t="shared" si="8"/>
        <v>-8.3117036978903082E-3</v>
      </c>
    </row>
    <row r="543" spans="1:4" x14ac:dyDescent="0.3">
      <c r="A543" s="3">
        <v>45225</v>
      </c>
      <c r="B543" s="4">
        <v>18857.25</v>
      </c>
      <c r="C543" s="7">
        <v>541</v>
      </c>
      <c r="D543" s="5">
        <f t="shared" si="8"/>
        <v>-1.3949893667133624E-2</v>
      </c>
    </row>
    <row r="544" spans="1:4" x14ac:dyDescent="0.3">
      <c r="A544" s="3">
        <v>45226</v>
      </c>
      <c r="B544" s="4">
        <v>19047.25</v>
      </c>
      <c r="C544" s="7">
        <v>542</v>
      </c>
      <c r="D544" s="5">
        <f t="shared" si="8"/>
        <v>1.0025278863763394E-2</v>
      </c>
    </row>
    <row r="545" spans="1:4" x14ac:dyDescent="0.3">
      <c r="A545" s="3">
        <v>45229</v>
      </c>
      <c r="B545" s="4">
        <v>19140.900000000001</v>
      </c>
      <c r="C545" s="7">
        <v>543</v>
      </c>
      <c r="D545" s="5">
        <f t="shared" si="8"/>
        <v>4.9046726660236838E-3</v>
      </c>
    </row>
    <row r="546" spans="1:4" x14ac:dyDescent="0.3">
      <c r="A546" s="3">
        <v>45230</v>
      </c>
      <c r="B546" s="4">
        <v>19079.599999999999</v>
      </c>
      <c r="C546" s="7">
        <v>544</v>
      </c>
      <c r="D546" s="5">
        <f t="shared" si="8"/>
        <v>-3.207705423086861E-3</v>
      </c>
    </row>
    <row r="547" spans="1:4" x14ac:dyDescent="0.3">
      <c r="A547" s="3">
        <v>45231</v>
      </c>
      <c r="B547" s="4">
        <v>18989.150000000001</v>
      </c>
      <c r="C547" s="7">
        <v>545</v>
      </c>
      <c r="D547" s="5">
        <f t="shared" si="8"/>
        <v>-4.7519380175908114E-3</v>
      </c>
    </row>
    <row r="548" spans="1:4" x14ac:dyDescent="0.3">
      <c r="A548" s="3">
        <v>45232</v>
      </c>
      <c r="B548" s="4">
        <v>19133.25</v>
      </c>
      <c r="C548" s="7">
        <v>546</v>
      </c>
      <c r="D548" s="5">
        <f t="shared" si="8"/>
        <v>7.5598958250219696E-3</v>
      </c>
    </row>
    <row r="549" spans="1:4" x14ac:dyDescent="0.3">
      <c r="A549" s="3">
        <v>45233</v>
      </c>
      <c r="B549" s="4">
        <v>19230.599999999999</v>
      </c>
      <c r="C549" s="7">
        <v>547</v>
      </c>
      <c r="D549" s="5">
        <f t="shared" si="8"/>
        <v>5.0751011147600316E-3</v>
      </c>
    </row>
    <row r="550" spans="1:4" x14ac:dyDescent="0.3">
      <c r="A550" s="3">
        <v>45236</v>
      </c>
      <c r="B550" s="4">
        <v>19411.75</v>
      </c>
      <c r="C550" s="7">
        <v>548</v>
      </c>
      <c r="D550" s="5">
        <f t="shared" si="8"/>
        <v>9.3757924662759996E-3</v>
      </c>
    </row>
    <row r="551" spans="1:4" x14ac:dyDescent="0.3">
      <c r="A551" s="3">
        <v>45237</v>
      </c>
      <c r="B551" s="4">
        <v>19406.7</v>
      </c>
      <c r="C551" s="7">
        <v>549</v>
      </c>
      <c r="D551" s="5">
        <f t="shared" si="8"/>
        <v>-2.6018555756290862E-4</v>
      </c>
    </row>
    <row r="552" spans="1:4" x14ac:dyDescent="0.3">
      <c r="A552" s="3">
        <v>45238</v>
      </c>
      <c r="B552" s="4">
        <v>19443.5</v>
      </c>
      <c r="C552" s="7">
        <v>550</v>
      </c>
      <c r="D552" s="5">
        <f t="shared" si="8"/>
        <v>1.8944567083908723E-3</v>
      </c>
    </row>
    <row r="553" spans="1:4" x14ac:dyDescent="0.3">
      <c r="A553" s="3">
        <v>45239</v>
      </c>
      <c r="B553" s="4">
        <v>19395.3</v>
      </c>
      <c r="C553" s="7">
        <v>551</v>
      </c>
      <c r="D553" s="5">
        <f t="shared" si="8"/>
        <v>-2.4820553026905696E-3</v>
      </c>
    </row>
    <row r="554" spans="1:4" x14ac:dyDescent="0.3">
      <c r="A554" s="3">
        <v>45240</v>
      </c>
      <c r="B554" s="4">
        <v>19425.349999999999</v>
      </c>
      <c r="C554" s="7">
        <v>552</v>
      </c>
      <c r="D554" s="5">
        <f t="shared" si="8"/>
        <v>1.548145433003843E-3</v>
      </c>
    </row>
    <row r="555" spans="1:4" x14ac:dyDescent="0.3">
      <c r="A555" s="3">
        <v>45242</v>
      </c>
      <c r="B555" s="4">
        <v>19525.55</v>
      </c>
      <c r="C555" s="7">
        <v>553</v>
      </c>
      <c r="D555" s="5">
        <f t="shared" si="8"/>
        <v>5.1449502336882525E-3</v>
      </c>
    </row>
    <row r="556" spans="1:4" x14ac:dyDescent="0.3">
      <c r="A556" s="3">
        <v>45243</v>
      </c>
      <c r="B556" s="4">
        <v>19443.55</v>
      </c>
      <c r="C556" s="7">
        <v>554</v>
      </c>
      <c r="D556" s="5">
        <f t="shared" si="8"/>
        <v>-4.2084688138326878E-3</v>
      </c>
    </row>
    <row r="557" spans="1:4" x14ac:dyDescent="0.3">
      <c r="A557" s="3">
        <v>45245</v>
      </c>
      <c r="B557" s="4">
        <v>19675.45</v>
      </c>
      <c r="C557" s="7">
        <v>555</v>
      </c>
      <c r="D557" s="5">
        <f t="shared" si="8"/>
        <v>1.185627017720115E-2</v>
      </c>
    </row>
    <row r="558" spans="1:4" x14ac:dyDescent="0.3">
      <c r="A558" s="3">
        <v>45246</v>
      </c>
      <c r="B558" s="4">
        <v>19765.2</v>
      </c>
      <c r="C558" s="7">
        <v>556</v>
      </c>
      <c r="D558" s="5">
        <f t="shared" si="8"/>
        <v>4.5511498880301303E-3</v>
      </c>
    </row>
    <row r="559" spans="1:4" x14ac:dyDescent="0.3">
      <c r="A559" s="3">
        <v>45247</v>
      </c>
      <c r="B559" s="4">
        <v>19731.8</v>
      </c>
      <c r="C559" s="7">
        <v>557</v>
      </c>
      <c r="D559" s="5">
        <f t="shared" si="8"/>
        <v>-1.6912680943572324E-3</v>
      </c>
    </row>
    <row r="560" spans="1:4" x14ac:dyDescent="0.3">
      <c r="A560" s="3">
        <v>45250</v>
      </c>
      <c r="B560" s="4">
        <v>19694</v>
      </c>
      <c r="C560" s="7">
        <v>558</v>
      </c>
      <c r="D560" s="5">
        <f t="shared" si="8"/>
        <v>-1.9175266745258626E-3</v>
      </c>
    </row>
    <row r="561" spans="1:4" x14ac:dyDescent="0.3">
      <c r="A561" s="3">
        <v>45251</v>
      </c>
      <c r="B561" s="4">
        <v>19783.400000000001</v>
      </c>
      <c r="C561" s="7">
        <v>559</v>
      </c>
      <c r="D561" s="5">
        <f t="shared" si="8"/>
        <v>4.5291813962118265E-3</v>
      </c>
    </row>
    <row r="562" spans="1:4" x14ac:dyDescent="0.3">
      <c r="A562" s="3">
        <v>45252</v>
      </c>
      <c r="B562" s="4">
        <v>19811.849999999999</v>
      </c>
      <c r="C562" s="7">
        <v>560</v>
      </c>
      <c r="D562" s="5">
        <f t="shared" si="8"/>
        <v>1.4370413065190699E-3</v>
      </c>
    </row>
    <row r="563" spans="1:4" x14ac:dyDescent="0.3">
      <c r="A563" s="3">
        <v>45253</v>
      </c>
      <c r="B563" s="4">
        <v>19802</v>
      </c>
      <c r="C563" s="7">
        <v>561</v>
      </c>
      <c r="D563" s="5">
        <f t="shared" si="8"/>
        <v>-4.9730082801831082E-4</v>
      </c>
    </row>
    <row r="564" spans="1:4" x14ac:dyDescent="0.3">
      <c r="A564" s="3">
        <v>45254</v>
      </c>
      <c r="B564" s="4">
        <v>19794.7</v>
      </c>
      <c r="C564" s="7">
        <v>562</v>
      </c>
      <c r="D564" s="5">
        <f t="shared" si="8"/>
        <v>-3.6871759933041186E-4</v>
      </c>
    </row>
    <row r="565" spans="1:4" x14ac:dyDescent="0.3">
      <c r="A565" s="3">
        <v>45258</v>
      </c>
      <c r="B565" s="4">
        <v>19889.7</v>
      </c>
      <c r="C565" s="7">
        <v>563</v>
      </c>
      <c r="D565" s="5">
        <f t="shared" si="8"/>
        <v>4.7877846948800578E-3</v>
      </c>
    </row>
    <row r="566" spans="1:4" x14ac:dyDescent="0.3">
      <c r="A566" s="3">
        <v>45259</v>
      </c>
      <c r="B566" s="4">
        <v>20096.599999999999</v>
      </c>
      <c r="C566" s="7">
        <v>564</v>
      </c>
      <c r="D566" s="5">
        <f t="shared" si="8"/>
        <v>1.0348636732111694E-2</v>
      </c>
    </row>
    <row r="567" spans="1:4" x14ac:dyDescent="0.3">
      <c r="A567" s="3">
        <v>45260</v>
      </c>
      <c r="B567" s="4">
        <v>20133.150000000001</v>
      </c>
      <c r="C567" s="7">
        <v>565</v>
      </c>
      <c r="D567" s="5">
        <f t="shared" si="8"/>
        <v>1.8170637429511605E-3</v>
      </c>
    </row>
    <row r="568" spans="1:4" x14ac:dyDescent="0.3">
      <c r="A568" s="3">
        <v>45261</v>
      </c>
      <c r="B568" s="4">
        <v>20267.900000000001</v>
      </c>
      <c r="C568" s="7">
        <v>566</v>
      </c>
      <c r="D568" s="5">
        <f t="shared" si="8"/>
        <v>6.6706434446280362E-3</v>
      </c>
    </row>
    <row r="569" spans="1:4" x14ac:dyDescent="0.3">
      <c r="A569" s="3">
        <v>45264</v>
      </c>
      <c r="B569" s="4">
        <v>20686.8</v>
      </c>
      <c r="C569" s="7">
        <v>567</v>
      </c>
      <c r="D569" s="5">
        <f t="shared" si="8"/>
        <v>2.0457461991232925E-2</v>
      </c>
    </row>
    <row r="570" spans="1:4" x14ac:dyDescent="0.3">
      <c r="A570" s="3">
        <v>45265</v>
      </c>
      <c r="B570" s="4">
        <v>20855.099999999999</v>
      </c>
      <c r="C570" s="7">
        <v>568</v>
      </c>
      <c r="D570" s="5">
        <f t="shared" si="8"/>
        <v>8.1027069438026102E-3</v>
      </c>
    </row>
    <row r="571" spans="1:4" x14ac:dyDescent="0.3">
      <c r="A571" s="3">
        <v>45266</v>
      </c>
      <c r="B571" s="4">
        <v>20937.7</v>
      </c>
      <c r="C571" s="7">
        <v>569</v>
      </c>
      <c r="D571" s="5">
        <f t="shared" si="8"/>
        <v>3.9528391278700111E-3</v>
      </c>
    </row>
    <row r="572" spans="1:4" x14ac:dyDescent="0.3">
      <c r="A572" s="3">
        <v>45267</v>
      </c>
      <c r="B572" s="4">
        <v>20901.150000000001</v>
      </c>
      <c r="C572" s="7">
        <v>570</v>
      </c>
      <c r="D572" s="5">
        <f t="shared" si="8"/>
        <v>-1.7471803980189876E-3</v>
      </c>
    </row>
    <row r="573" spans="1:4" x14ac:dyDescent="0.3">
      <c r="A573" s="3">
        <v>45268</v>
      </c>
      <c r="B573" s="4">
        <v>20969.400000000001</v>
      </c>
      <c r="C573" s="7">
        <v>571</v>
      </c>
      <c r="D573" s="5">
        <f t="shared" si="8"/>
        <v>3.2600508207486305E-3</v>
      </c>
    </row>
    <row r="574" spans="1:4" x14ac:dyDescent="0.3">
      <c r="A574" s="3">
        <v>45271</v>
      </c>
      <c r="B574" s="4">
        <v>20997.1</v>
      </c>
      <c r="C574" s="7">
        <v>572</v>
      </c>
      <c r="D574" s="5">
        <f t="shared" si="8"/>
        <v>1.3201007481038823E-3</v>
      </c>
    </row>
    <row r="575" spans="1:4" x14ac:dyDescent="0.3">
      <c r="A575" s="3">
        <v>45272</v>
      </c>
      <c r="B575" s="4">
        <v>20906.400000000001</v>
      </c>
      <c r="C575" s="7">
        <v>573</v>
      </c>
      <c r="D575" s="5">
        <f t="shared" si="8"/>
        <v>-4.3290007586474161E-3</v>
      </c>
    </row>
    <row r="576" spans="1:4" x14ac:dyDescent="0.3">
      <c r="A576" s="3">
        <v>45273</v>
      </c>
      <c r="B576" s="4">
        <v>20926.349999999999</v>
      </c>
      <c r="C576" s="7">
        <v>574</v>
      </c>
      <c r="D576" s="5">
        <f t="shared" si="8"/>
        <v>9.5379823284038147E-4</v>
      </c>
    </row>
    <row r="577" spans="1:4" x14ac:dyDescent="0.3">
      <c r="A577" s="3">
        <v>45274</v>
      </c>
      <c r="B577" s="4">
        <v>21182.7</v>
      </c>
      <c r="C577" s="7">
        <v>575</v>
      </c>
      <c r="D577" s="5">
        <f t="shared" si="8"/>
        <v>1.2175680378580502E-2</v>
      </c>
    </row>
    <row r="578" spans="1:4" x14ac:dyDescent="0.3">
      <c r="A578" s="3">
        <v>45275</v>
      </c>
      <c r="B578" s="4">
        <v>21456.65</v>
      </c>
      <c r="C578" s="7">
        <v>576</v>
      </c>
      <c r="D578" s="5">
        <f t="shared" si="8"/>
        <v>1.2849809834677589E-2</v>
      </c>
    </row>
    <row r="579" spans="1:4" x14ac:dyDescent="0.3">
      <c r="A579" s="3">
        <v>45278</v>
      </c>
      <c r="B579" s="4">
        <v>21418.65</v>
      </c>
      <c r="C579" s="7">
        <v>577</v>
      </c>
      <c r="D579" s="5">
        <f t="shared" ref="D579:D642" si="9">LN(B579/B578)</f>
        <v>-1.7725828134065394E-3</v>
      </c>
    </row>
    <row r="580" spans="1:4" x14ac:dyDescent="0.3">
      <c r="A580" s="3">
        <v>45279</v>
      </c>
      <c r="B580" s="4">
        <v>21453.1</v>
      </c>
      <c r="C580" s="7">
        <v>578</v>
      </c>
      <c r="D580" s="5">
        <f t="shared" si="9"/>
        <v>1.6071192528823127E-3</v>
      </c>
    </row>
    <row r="581" spans="1:4" x14ac:dyDescent="0.3">
      <c r="A581" s="3">
        <v>45280</v>
      </c>
      <c r="B581" s="4">
        <v>21150.15</v>
      </c>
      <c r="C581" s="7">
        <v>579</v>
      </c>
      <c r="D581" s="5">
        <f t="shared" si="9"/>
        <v>-1.4222159410509942E-2</v>
      </c>
    </row>
    <row r="582" spans="1:4" x14ac:dyDescent="0.3">
      <c r="A582" s="3">
        <v>45281</v>
      </c>
      <c r="B582" s="4">
        <v>21255.05</v>
      </c>
      <c r="C582" s="7">
        <v>580</v>
      </c>
      <c r="D582" s="5">
        <f t="shared" si="9"/>
        <v>4.9475165299410597E-3</v>
      </c>
    </row>
    <row r="583" spans="1:4" x14ac:dyDescent="0.3">
      <c r="A583" s="3">
        <v>45282</v>
      </c>
      <c r="B583" s="4">
        <v>21349.4</v>
      </c>
      <c r="C583" s="7">
        <v>581</v>
      </c>
      <c r="D583" s="5">
        <f t="shared" si="9"/>
        <v>4.4291220395791331E-3</v>
      </c>
    </row>
    <row r="584" spans="1:4" x14ac:dyDescent="0.3">
      <c r="A584" s="3">
        <v>45286</v>
      </c>
      <c r="B584" s="4">
        <v>21441.35</v>
      </c>
      <c r="C584" s="7">
        <v>582</v>
      </c>
      <c r="D584" s="5">
        <f t="shared" si="9"/>
        <v>4.2976644029708395E-3</v>
      </c>
    </row>
    <row r="585" spans="1:4" x14ac:dyDescent="0.3">
      <c r="A585" s="3">
        <v>45287</v>
      </c>
      <c r="B585" s="4">
        <v>21654.75</v>
      </c>
      <c r="C585" s="7">
        <v>583</v>
      </c>
      <c r="D585" s="5">
        <f t="shared" si="9"/>
        <v>9.903529283836263E-3</v>
      </c>
    </row>
    <row r="586" spans="1:4" x14ac:dyDescent="0.3">
      <c r="A586" s="3">
        <v>45288</v>
      </c>
      <c r="B586" s="4">
        <v>21778.7</v>
      </c>
      <c r="C586" s="7">
        <v>584</v>
      </c>
      <c r="D586" s="5">
        <f t="shared" si="9"/>
        <v>5.7075980144208728E-3</v>
      </c>
    </row>
    <row r="587" spans="1:4" x14ac:dyDescent="0.3">
      <c r="A587" s="3">
        <v>45289</v>
      </c>
      <c r="B587" s="4">
        <v>21731.4</v>
      </c>
      <c r="C587" s="7">
        <v>585</v>
      </c>
      <c r="D587" s="5">
        <f t="shared" si="9"/>
        <v>-2.1742086840976452E-3</v>
      </c>
    </row>
    <row r="588" spans="1:4" x14ac:dyDescent="0.3">
      <c r="A588" s="3">
        <v>45292</v>
      </c>
      <c r="B588" s="4">
        <v>21741.9</v>
      </c>
      <c r="C588" s="7">
        <v>586</v>
      </c>
      <c r="D588" s="5">
        <f t="shared" si="9"/>
        <v>4.8305512598190972E-4</v>
      </c>
    </row>
    <row r="589" spans="1:4" x14ac:dyDescent="0.3">
      <c r="A589" s="3">
        <v>45293</v>
      </c>
      <c r="B589" s="4">
        <v>21665.8</v>
      </c>
      <c r="C589" s="7">
        <v>587</v>
      </c>
      <c r="D589" s="5">
        <f t="shared" si="9"/>
        <v>-3.5062939508453059E-3</v>
      </c>
    </row>
    <row r="590" spans="1:4" x14ac:dyDescent="0.3">
      <c r="A590" s="3">
        <v>45294</v>
      </c>
      <c r="B590" s="4">
        <v>21517.35</v>
      </c>
      <c r="C590" s="7">
        <v>588</v>
      </c>
      <c r="D590" s="5">
        <f t="shared" si="9"/>
        <v>-6.8753939803709255E-3</v>
      </c>
    </row>
    <row r="591" spans="1:4" x14ac:dyDescent="0.3">
      <c r="A591" s="3">
        <v>45295</v>
      </c>
      <c r="B591" s="4">
        <v>21658.6</v>
      </c>
      <c r="C591" s="7">
        <v>589</v>
      </c>
      <c r="D591" s="5">
        <f t="shared" si="9"/>
        <v>6.5430177643685588E-3</v>
      </c>
    </row>
    <row r="592" spans="1:4" x14ac:dyDescent="0.3">
      <c r="A592" s="3">
        <v>45296</v>
      </c>
      <c r="B592" s="4">
        <v>21710.799999999999</v>
      </c>
      <c r="C592" s="7">
        <v>590</v>
      </c>
      <c r="D592" s="5">
        <f t="shared" si="9"/>
        <v>2.4072283779417876E-3</v>
      </c>
    </row>
    <row r="593" spans="1:4" x14ac:dyDescent="0.3">
      <c r="A593" s="3">
        <v>45299</v>
      </c>
      <c r="B593" s="4">
        <v>21513</v>
      </c>
      <c r="C593" s="7">
        <v>591</v>
      </c>
      <c r="D593" s="5">
        <f t="shared" si="9"/>
        <v>-9.1524290208980594E-3</v>
      </c>
    </row>
    <row r="594" spans="1:4" x14ac:dyDescent="0.3">
      <c r="A594" s="3">
        <v>45300</v>
      </c>
      <c r="B594" s="4">
        <v>21544.85</v>
      </c>
      <c r="C594" s="7">
        <v>592</v>
      </c>
      <c r="D594" s="5">
        <f t="shared" si="9"/>
        <v>1.4794053028200293E-3</v>
      </c>
    </row>
    <row r="595" spans="1:4" x14ac:dyDescent="0.3">
      <c r="A595" s="3">
        <v>45301</v>
      </c>
      <c r="B595" s="4">
        <v>21618.7</v>
      </c>
      <c r="C595" s="7">
        <v>593</v>
      </c>
      <c r="D595" s="5">
        <f t="shared" si="9"/>
        <v>3.4218720221299791E-3</v>
      </c>
    </row>
    <row r="596" spans="1:4" x14ac:dyDescent="0.3">
      <c r="A596" s="3">
        <v>45302</v>
      </c>
      <c r="B596" s="4">
        <v>21647.200000000001</v>
      </c>
      <c r="C596" s="7">
        <v>594</v>
      </c>
      <c r="D596" s="5">
        <f t="shared" si="9"/>
        <v>1.3174349370812008E-3</v>
      </c>
    </row>
    <row r="597" spans="1:4" x14ac:dyDescent="0.3">
      <c r="A597" s="3">
        <v>45303</v>
      </c>
      <c r="B597" s="4">
        <v>21894.55</v>
      </c>
      <c r="C597" s="7">
        <v>595</v>
      </c>
      <c r="D597" s="5">
        <f t="shared" si="9"/>
        <v>1.1361631573985989E-2</v>
      </c>
    </row>
    <row r="598" spans="1:4" x14ac:dyDescent="0.3">
      <c r="A598" s="3">
        <v>45306</v>
      </c>
      <c r="B598" s="4">
        <v>22097.45</v>
      </c>
      <c r="C598" s="7">
        <v>596</v>
      </c>
      <c r="D598" s="5">
        <f t="shared" si="9"/>
        <v>9.2244698464408817E-3</v>
      </c>
    </row>
    <row r="599" spans="1:4" x14ac:dyDescent="0.3">
      <c r="A599" s="3">
        <v>45307</v>
      </c>
      <c r="B599" s="4">
        <v>22032.3</v>
      </c>
      <c r="C599" s="7">
        <v>597</v>
      </c>
      <c r="D599" s="5">
        <f t="shared" si="9"/>
        <v>-2.9526587996769691E-3</v>
      </c>
    </row>
    <row r="600" spans="1:4" x14ac:dyDescent="0.3">
      <c r="A600" s="3">
        <v>45308</v>
      </c>
      <c r="B600" s="4">
        <v>21571.95</v>
      </c>
      <c r="C600" s="7">
        <v>598</v>
      </c>
      <c r="D600" s="5">
        <f t="shared" si="9"/>
        <v>-2.1115698798429821E-2</v>
      </c>
    </row>
    <row r="601" spans="1:4" x14ac:dyDescent="0.3">
      <c r="A601" s="3">
        <v>45309</v>
      </c>
      <c r="B601" s="4">
        <v>21462.25</v>
      </c>
      <c r="C601" s="7">
        <v>599</v>
      </c>
      <c r="D601" s="5">
        <f t="shared" si="9"/>
        <v>-5.0982817207920056E-3</v>
      </c>
    </row>
    <row r="602" spans="1:4" x14ac:dyDescent="0.3">
      <c r="A602" s="3">
        <v>45310</v>
      </c>
      <c r="B602" s="4">
        <v>21622.400000000001</v>
      </c>
      <c r="C602" s="7">
        <v>600</v>
      </c>
      <c r="D602" s="5">
        <f t="shared" si="9"/>
        <v>7.4342364436114933E-3</v>
      </c>
    </row>
    <row r="603" spans="1:4" x14ac:dyDescent="0.3">
      <c r="A603" s="3">
        <v>45311</v>
      </c>
      <c r="B603" s="4">
        <v>21571.8</v>
      </c>
      <c r="C603" s="7">
        <v>601</v>
      </c>
      <c r="D603" s="5">
        <f t="shared" si="9"/>
        <v>-2.3429082212985306E-3</v>
      </c>
    </row>
    <row r="604" spans="1:4" x14ac:dyDescent="0.3">
      <c r="A604" s="3">
        <v>45314</v>
      </c>
      <c r="B604" s="4">
        <v>21238.799999999999</v>
      </c>
      <c r="C604" s="7">
        <v>602</v>
      </c>
      <c r="D604" s="5">
        <f t="shared" si="9"/>
        <v>-1.5557208551848641E-2</v>
      </c>
    </row>
    <row r="605" spans="1:4" x14ac:dyDescent="0.3">
      <c r="A605" s="3">
        <v>45315</v>
      </c>
      <c r="B605" s="4">
        <v>21453.95</v>
      </c>
      <c r="C605" s="7">
        <v>603</v>
      </c>
      <c r="D605" s="5">
        <f t="shared" si="9"/>
        <v>1.0079080002224091E-2</v>
      </c>
    </row>
    <row r="606" spans="1:4" x14ac:dyDescent="0.3">
      <c r="A606" s="3">
        <v>45316</v>
      </c>
      <c r="B606" s="4">
        <v>21352.6</v>
      </c>
      <c r="C606" s="7">
        <v>604</v>
      </c>
      <c r="D606" s="5">
        <f t="shared" si="9"/>
        <v>-4.7352654852423287E-3</v>
      </c>
    </row>
    <row r="607" spans="1:4" x14ac:dyDescent="0.3">
      <c r="A607" s="3">
        <v>45320</v>
      </c>
      <c r="B607" s="4">
        <v>21737.599999999999</v>
      </c>
      <c r="C607" s="7">
        <v>605</v>
      </c>
      <c r="D607" s="5">
        <f t="shared" si="9"/>
        <v>1.7869967895292525E-2</v>
      </c>
    </row>
    <row r="608" spans="1:4" x14ac:dyDescent="0.3">
      <c r="A608" s="3">
        <v>45321</v>
      </c>
      <c r="B608" s="4">
        <v>21522.1</v>
      </c>
      <c r="C608" s="7">
        <v>606</v>
      </c>
      <c r="D608" s="5">
        <f t="shared" si="9"/>
        <v>-9.9631658391133322E-3</v>
      </c>
    </row>
    <row r="609" spans="1:4" x14ac:dyDescent="0.3">
      <c r="A609" s="3">
        <v>45322</v>
      </c>
      <c r="B609" s="4">
        <v>21725.7</v>
      </c>
      <c r="C609" s="7">
        <v>607</v>
      </c>
      <c r="D609" s="5">
        <f t="shared" si="9"/>
        <v>9.415577400253396E-3</v>
      </c>
    </row>
    <row r="610" spans="1:4" x14ac:dyDescent="0.3">
      <c r="A610" s="3">
        <v>45323</v>
      </c>
      <c r="B610" s="4">
        <v>21697.45</v>
      </c>
      <c r="C610" s="7">
        <v>608</v>
      </c>
      <c r="D610" s="5">
        <f t="shared" si="9"/>
        <v>-1.3011494553287434E-3</v>
      </c>
    </row>
    <row r="611" spans="1:4" x14ac:dyDescent="0.3">
      <c r="A611" s="3">
        <v>45324</v>
      </c>
      <c r="B611" s="4">
        <v>21853.8</v>
      </c>
      <c r="C611" s="7">
        <v>609</v>
      </c>
      <c r="D611" s="5">
        <f t="shared" si="9"/>
        <v>7.18007734330033E-3</v>
      </c>
    </row>
    <row r="612" spans="1:4" x14ac:dyDescent="0.3">
      <c r="A612" s="3">
        <v>45327</v>
      </c>
      <c r="B612" s="4">
        <v>21771.7</v>
      </c>
      <c r="C612" s="7">
        <v>610</v>
      </c>
      <c r="D612" s="5">
        <f t="shared" si="9"/>
        <v>-3.7638581528382955E-3</v>
      </c>
    </row>
    <row r="613" spans="1:4" x14ac:dyDescent="0.3">
      <c r="A613" s="3">
        <v>45328</v>
      </c>
      <c r="B613" s="4">
        <v>21929.4</v>
      </c>
      <c r="C613" s="7">
        <v>611</v>
      </c>
      <c r="D613" s="5">
        <f t="shared" si="9"/>
        <v>7.2172409632705048E-3</v>
      </c>
    </row>
    <row r="614" spans="1:4" x14ac:dyDescent="0.3">
      <c r="A614" s="3">
        <v>45329</v>
      </c>
      <c r="B614" s="4">
        <v>21930.5</v>
      </c>
      <c r="C614" s="7">
        <v>612</v>
      </c>
      <c r="D614" s="5">
        <f t="shared" si="9"/>
        <v>5.0159713096876929E-5</v>
      </c>
    </row>
    <row r="615" spans="1:4" x14ac:dyDescent="0.3">
      <c r="A615" s="3">
        <v>45330</v>
      </c>
      <c r="B615" s="4">
        <v>21717.95</v>
      </c>
      <c r="C615" s="7">
        <v>613</v>
      </c>
      <c r="D615" s="5">
        <f t="shared" si="9"/>
        <v>-9.7392544332029034E-3</v>
      </c>
    </row>
    <row r="616" spans="1:4" x14ac:dyDescent="0.3">
      <c r="A616" s="3">
        <v>45331</v>
      </c>
      <c r="B616" s="4">
        <v>21782.5</v>
      </c>
      <c r="C616" s="7">
        <v>614</v>
      </c>
      <c r="D616" s="5">
        <f t="shared" si="9"/>
        <v>2.9677875690214571E-3</v>
      </c>
    </row>
    <row r="617" spans="1:4" x14ac:dyDescent="0.3">
      <c r="A617" s="3">
        <v>45334</v>
      </c>
      <c r="B617" s="4">
        <v>21616.05</v>
      </c>
      <c r="C617" s="7">
        <v>615</v>
      </c>
      <c r="D617" s="5">
        <f t="shared" si="9"/>
        <v>-7.6708008067306686E-3</v>
      </c>
    </row>
    <row r="618" spans="1:4" x14ac:dyDescent="0.3">
      <c r="A618" s="3">
        <v>45335</v>
      </c>
      <c r="B618" s="4">
        <v>21743.25</v>
      </c>
      <c r="C618" s="7">
        <v>616</v>
      </c>
      <c r="D618" s="5">
        <f t="shared" si="9"/>
        <v>5.8672702236109882E-3</v>
      </c>
    </row>
    <row r="619" spans="1:4" x14ac:dyDescent="0.3">
      <c r="A619" s="3">
        <v>45336</v>
      </c>
      <c r="B619" s="4">
        <v>21840.05</v>
      </c>
      <c r="C619" s="7">
        <v>617</v>
      </c>
      <c r="D619" s="5">
        <f t="shared" si="9"/>
        <v>4.4420757111879932E-3</v>
      </c>
    </row>
    <row r="620" spans="1:4" x14ac:dyDescent="0.3">
      <c r="A620" s="3">
        <v>45337</v>
      </c>
      <c r="B620" s="4">
        <v>21910.75</v>
      </c>
      <c r="C620" s="7">
        <v>618</v>
      </c>
      <c r="D620" s="5">
        <f t="shared" si="9"/>
        <v>3.2319437149108312E-3</v>
      </c>
    </row>
    <row r="621" spans="1:4" x14ac:dyDescent="0.3">
      <c r="A621" s="3">
        <v>45338</v>
      </c>
      <c r="B621" s="4">
        <v>22040.7</v>
      </c>
      <c r="C621" s="7">
        <v>619</v>
      </c>
      <c r="D621" s="5">
        <f t="shared" si="9"/>
        <v>5.9133602496496528E-3</v>
      </c>
    </row>
    <row r="622" spans="1:4" x14ac:dyDescent="0.3">
      <c r="A622" s="3">
        <v>45341</v>
      </c>
      <c r="B622" s="4">
        <v>22122.25</v>
      </c>
      <c r="C622" s="7">
        <v>620</v>
      </c>
      <c r="D622" s="5">
        <f t="shared" si="9"/>
        <v>3.6931451676362253E-3</v>
      </c>
    </row>
    <row r="623" spans="1:4" x14ac:dyDescent="0.3">
      <c r="A623" s="3">
        <v>45342</v>
      </c>
      <c r="B623" s="4">
        <v>22196.95</v>
      </c>
      <c r="C623" s="7">
        <v>621</v>
      </c>
      <c r="D623" s="5">
        <f t="shared" si="9"/>
        <v>3.3710026687649355E-3</v>
      </c>
    </row>
    <row r="624" spans="1:4" x14ac:dyDescent="0.3">
      <c r="A624" s="3">
        <v>45343</v>
      </c>
      <c r="B624" s="4">
        <v>22055.05</v>
      </c>
      <c r="C624" s="7">
        <v>622</v>
      </c>
      <c r="D624" s="5">
        <f t="shared" si="9"/>
        <v>-6.4132914383778911E-3</v>
      </c>
    </row>
    <row r="625" spans="1:4" x14ac:dyDescent="0.3">
      <c r="A625" s="3">
        <v>45344</v>
      </c>
      <c r="B625" s="4">
        <v>22217.45</v>
      </c>
      <c r="C625" s="7">
        <v>623</v>
      </c>
      <c r="D625" s="5">
        <f t="shared" si="9"/>
        <v>7.3364155357774361E-3</v>
      </c>
    </row>
    <row r="626" spans="1:4" x14ac:dyDescent="0.3">
      <c r="A626" s="3">
        <v>45345</v>
      </c>
      <c r="B626" s="4">
        <v>22212.7</v>
      </c>
      <c r="C626" s="7">
        <v>624</v>
      </c>
      <c r="D626" s="5">
        <f t="shared" si="9"/>
        <v>-2.1381877027633613E-4</v>
      </c>
    </row>
    <row r="627" spans="1:4" x14ac:dyDescent="0.3">
      <c r="A627" s="3">
        <v>45348</v>
      </c>
      <c r="B627" s="4">
        <v>22122.05</v>
      </c>
      <c r="C627" s="7">
        <v>625</v>
      </c>
      <c r="D627" s="5">
        <f t="shared" si="9"/>
        <v>-4.0893487084771958E-3</v>
      </c>
    </row>
    <row r="628" spans="1:4" x14ac:dyDescent="0.3">
      <c r="A628" s="3">
        <v>45349</v>
      </c>
      <c r="B628" s="4">
        <v>22198.35</v>
      </c>
      <c r="C628" s="7">
        <v>626</v>
      </c>
      <c r="D628" s="5">
        <f t="shared" si="9"/>
        <v>3.4431131207391997E-3</v>
      </c>
    </row>
    <row r="629" spans="1:4" x14ac:dyDescent="0.3">
      <c r="A629" s="3">
        <v>45350</v>
      </c>
      <c r="B629" s="4">
        <v>21951.15</v>
      </c>
      <c r="C629" s="7">
        <v>627</v>
      </c>
      <c r="D629" s="5">
        <f t="shared" si="9"/>
        <v>-1.1198431843397458E-2</v>
      </c>
    </row>
    <row r="630" spans="1:4" x14ac:dyDescent="0.3">
      <c r="A630" s="3">
        <v>45351</v>
      </c>
      <c r="B630" s="4">
        <v>21982.799999999999</v>
      </c>
      <c r="C630" s="7">
        <v>628</v>
      </c>
      <c r="D630" s="5">
        <f t="shared" si="9"/>
        <v>1.4407994489542065E-3</v>
      </c>
    </row>
    <row r="631" spans="1:4" x14ac:dyDescent="0.3">
      <c r="A631" s="3">
        <v>45352</v>
      </c>
      <c r="B631" s="4">
        <v>22338.75</v>
      </c>
      <c r="C631" s="7">
        <v>629</v>
      </c>
      <c r="D631" s="5">
        <f t="shared" si="9"/>
        <v>1.6062509231593233E-2</v>
      </c>
    </row>
    <row r="632" spans="1:4" x14ac:dyDescent="0.3">
      <c r="A632" s="3">
        <v>45353</v>
      </c>
      <c r="B632" s="4">
        <v>22378.400000000001</v>
      </c>
      <c r="C632" s="7">
        <v>630</v>
      </c>
      <c r="D632" s="5">
        <f t="shared" si="9"/>
        <v>1.7733692952736234E-3</v>
      </c>
    </row>
    <row r="633" spans="1:4" x14ac:dyDescent="0.3">
      <c r="A633" s="3">
        <v>45355</v>
      </c>
      <c r="B633" s="4">
        <v>22405.599999999999</v>
      </c>
      <c r="C633" s="7">
        <v>631</v>
      </c>
      <c r="D633" s="5">
        <f t="shared" si="9"/>
        <v>1.2147196920581206E-3</v>
      </c>
    </row>
    <row r="634" spans="1:4" x14ac:dyDescent="0.3">
      <c r="A634" s="3">
        <v>45356</v>
      </c>
      <c r="B634" s="4">
        <v>22356.3</v>
      </c>
      <c r="C634" s="7">
        <v>632</v>
      </c>
      <c r="D634" s="5">
        <f t="shared" si="9"/>
        <v>-2.202767082468908E-3</v>
      </c>
    </row>
    <row r="635" spans="1:4" x14ac:dyDescent="0.3">
      <c r="A635" s="3">
        <v>45357</v>
      </c>
      <c r="B635" s="4">
        <v>22474.05</v>
      </c>
      <c r="C635" s="7">
        <v>633</v>
      </c>
      <c r="D635" s="5">
        <f t="shared" si="9"/>
        <v>5.2531497425974778E-3</v>
      </c>
    </row>
    <row r="636" spans="1:4" x14ac:dyDescent="0.3">
      <c r="A636" s="3">
        <v>45358</v>
      </c>
      <c r="B636" s="4">
        <v>22493.55</v>
      </c>
      <c r="C636" s="7">
        <v>634</v>
      </c>
      <c r="D636" s="5">
        <f t="shared" si="9"/>
        <v>8.6729117063467345E-4</v>
      </c>
    </row>
    <row r="637" spans="1:4" x14ac:dyDescent="0.3">
      <c r="A637" s="3">
        <v>45362</v>
      </c>
      <c r="B637" s="4">
        <v>22332.65</v>
      </c>
      <c r="C637" s="7">
        <v>635</v>
      </c>
      <c r="D637" s="5">
        <f t="shared" si="9"/>
        <v>-7.1788682071318097E-3</v>
      </c>
    </row>
    <row r="638" spans="1:4" x14ac:dyDescent="0.3">
      <c r="A638" s="3">
        <v>45363</v>
      </c>
      <c r="B638" s="4">
        <v>22335.7</v>
      </c>
      <c r="C638" s="7">
        <v>636</v>
      </c>
      <c r="D638" s="5">
        <f t="shared" si="9"/>
        <v>1.3656201783766265E-4</v>
      </c>
    </row>
    <row r="639" spans="1:4" x14ac:dyDescent="0.3">
      <c r="A639" s="3">
        <v>45364</v>
      </c>
      <c r="B639" s="4">
        <v>21997.7</v>
      </c>
      <c r="C639" s="7">
        <v>637</v>
      </c>
      <c r="D639" s="5">
        <f t="shared" si="9"/>
        <v>-1.524839281915699E-2</v>
      </c>
    </row>
    <row r="640" spans="1:4" x14ac:dyDescent="0.3">
      <c r="A640" s="3">
        <v>45365</v>
      </c>
      <c r="B640" s="4">
        <v>22146.65</v>
      </c>
      <c r="C640" s="7">
        <v>638</v>
      </c>
      <c r="D640" s="5">
        <f t="shared" si="9"/>
        <v>6.7483410794881684E-3</v>
      </c>
    </row>
    <row r="641" spans="1:4" x14ac:dyDescent="0.3">
      <c r="A641" s="3">
        <v>45366</v>
      </c>
      <c r="B641" s="4">
        <v>22023.35</v>
      </c>
      <c r="C641" s="7">
        <v>639</v>
      </c>
      <c r="D641" s="5">
        <f t="shared" si="9"/>
        <v>-5.5829893714841473E-3</v>
      </c>
    </row>
    <row r="642" spans="1:4" x14ac:dyDescent="0.3">
      <c r="A642" s="3">
        <v>45369</v>
      </c>
      <c r="B642" s="4">
        <v>22055.7</v>
      </c>
      <c r="C642" s="7">
        <v>640</v>
      </c>
      <c r="D642" s="5">
        <f t="shared" si="9"/>
        <v>1.4678177414507178E-3</v>
      </c>
    </row>
    <row r="643" spans="1:4" x14ac:dyDescent="0.3">
      <c r="A643" s="3">
        <v>45370</v>
      </c>
      <c r="B643" s="4">
        <v>21817.45</v>
      </c>
      <c r="C643" s="7">
        <v>641</v>
      </c>
      <c r="D643" s="5">
        <f t="shared" ref="D643:D706" si="10">LN(B643/B642)</f>
        <v>-1.0860963573548457E-2</v>
      </c>
    </row>
    <row r="644" spans="1:4" x14ac:dyDescent="0.3">
      <c r="A644" s="3">
        <v>45371</v>
      </c>
      <c r="B644" s="4">
        <v>21839.1</v>
      </c>
      <c r="C644" s="7">
        <v>642</v>
      </c>
      <c r="D644" s="5">
        <f t="shared" si="10"/>
        <v>9.9183292197013414E-4</v>
      </c>
    </row>
    <row r="645" spans="1:4" x14ac:dyDescent="0.3">
      <c r="A645" s="3">
        <v>45372</v>
      </c>
      <c r="B645" s="4">
        <v>22011.95</v>
      </c>
      <c r="C645" s="7">
        <v>643</v>
      </c>
      <c r="D645" s="5">
        <f t="shared" si="10"/>
        <v>7.883546470263552E-3</v>
      </c>
    </row>
    <row r="646" spans="1:4" x14ac:dyDescent="0.3">
      <c r="A646" s="3">
        <v>45373</v>
      </c>
      <c r="B646" s="4">
        <v>22096.75</v>
      </c>
      <c r="C646" s="7">
        <v>644</v>
      </c>
      <c r="D646" s="5">
        <f t="shared" si="10"/>
        <v>3.8450511793153485E-3</v>
      </c>
    </row>
    <row r="647" spans="1:4" x14ac:dyDescent="0.3">
      <c r="A647" s="3">
        <v>45377</v>
      </c>
      <c r="B647" s="4">
        <v>22004.7</v>
      </c>
      <c r="C647" s="7">
        <v>645</v>
      </c>
      <c r="D647" s="5">
        <f t="shared" si="10"/>
        <v>-4.1744719810147216E-3</v>
      </c>
    </row>
    <row r="648" spans="1:4" x14ac:dyDescent="0.3">
      <c r="A648" s="3">
        <v>45378</v>
      </c>
      <c r="B648" s="4">
        <v>22123.65</v>
      </c>
      <c r="C648" s="7">
        <v>646</v>
      </c>
      <c r="D648" s="5">
        <f t="shared" si="10"/>
        <v>5.3911051782769932E-3</v>
      </c>
    </row>
    <row r="649" spans="1:4" x14ac:dyDescent="0.3">
      <c r="A649" s="3">
        <v>45379</v>
      </c>
      <c r="B649" s="4">
        <v>22326.9</v>
      </c>
      <c r="C649" s="7">
        <v>647</v>
      </c>
      <c r="D649" s="5">
        <f t="shared" si="10"/>
        <v>9.1450574409679217E-3</v>
      </c>
    </row>
    <row r="650" spans="1:4" x14ac:dyDescent="0.3">
      <c r="A650" s="3">
        <v>45383</v>
      </c>
      <c r="B650" s="4">
        <v>22462</v>
      </c>
      <c r="C650" s="7">
        <v>648</v>
      </c>
      <c r="D650" s="5">
        <f t="shared" si="10"/>
        <v>6.0327630166456293E-3</v>
      </c>
    </row>
    <row r="651" spans="1:4" x14ac:dyDescent="0.3">
      <c r="A651" s="3">
        <v>45384</v>
      </c>
      <c r="B651" s="4">
        <v>22453.3</v>
      </c>
      <c r="C651" s="7">
        <v>649</v>
      </c>
      <c r="D651" s="5">
        <f t="shared" si="10"/>
        <v>-3.8739583655484331E-4</v>
      </c>
    </row>
    <row r="652" spans="1:4" x14ac:dyDescent="0.3">
      <c r="A652" s="3">
        <v>45385</v>
      </c>
      <c r="B652" s="4">
        <v>22434.65</v>
      </c>
      <c r="C652" s="7">
        <v>650</v>
      </c>
      <c r="D652" s="5">
        <f t="shared" si="10"/>
        <v>-8.3095802205875437E-4</v>
      </c>
    </row>
    <row r="653" spans="1:4" x14ac:dyDescent="0.3">
      <c r="A653" s="3">
        <v>45386</v>
      </c>
      <c r="B653" s="4">
        <v>22514.65</v>
      </c>
      <c r="C653" s="7">
        <v>651</v>
      </c>
      <c r="D653" s="5">
        <f t="shared" si="10"/>
        <v>3.5595697583823936E-3</v>
      </c>
    </row>
    <row r="654" spans="1:4" x14ac:dyDescent="0.3">
      <c r="A654" s="3">
        <v>45387</v>
      </c>
      <c r="B654" s="4">
        <v>22513.7</v>
      </c>
      <c r="C654" s="7">
        <v>652</v>
      </c>
      <c r="D654" s="5">
        <f t="shared" si="10"/>
        <v>-4.2195638976008428E-5</v>
      </c>
    </row>
    <row r="655" spans="1:4" x14ac:dyDescent="0.3">
      <c r="A655" s="3">
        <v>45390</v>
      </c>
      <c r="B655" s="4">
        <v>22666.3</v>
      </c>
      <c r="C655" s="7">
        <v>653</v>
      </c>
      <c r="D655" s="5">
        <f t="shared" si="10"/>
        <v>6.7552271049311262E-3</v>
      </c>
    </row>
    <row r="656" spans="1:4" x14ac:dyDescent="0.3">
      <c r="A656" s="3">
        <v>45391</v>
      </c>
      <c r="B656" s="4">
        <v>22642.75</v>
      </c>
      <c r="C656" s="7">
        <v>654</v>
      </c>
      <c r="D656" s="5">
        <f t="shared" si="10"/>
        <v>-1.0395275169402805E-3</v>
      </c>
    </row>
    <row r="657" spans="1:4" x14ac:dyDescent="0.3">
      <c r="A657" s="3">
        <v>45392</v>
      </c>
      <c r="B657" s="4">
        <v>22753.8</v>
      </c>
      <c r="C657" s="7">
        <v>655</v>
      </c>
      <c r="D657" s="5">
        <f t="shared" si="10"/>
        <v>4.8924520259116325E-3</v>
      </c>
    </row>
    <row r="658" spans="1:4" x14ac:dyDescent="0.3">
      <c r="A658" s="3">
        <v>45394</v>
      </c>
      <c r="B658" s="4">
        <v>22519.4</v>
      </c>
      <c r="C658" s="7">
        <v>656</v>
      </c>
      <c r="D658" s="5">
        <f t="shared" si="10"/>
        <v>-1.0355004482994602E-2</v>
      </c>
    </row>
    <row r="659" spans="1:4" x14ac:dyDescent="0.3">
      <c r="A659" s="3">
        <v>45397</v>
      </c>
      <c r="B659" s="4">
        <v>22272.5</v>
      </c>
      <c r="C659" s="7">
        <v>657</v>
      </c>
      <c r="D659" s="5">
        <f t="shared" si="10"/>
        <v>-1.1024426319883079E-2</v>
      </c>
    </row>
    <row r="660" spans="1:4" x14ac:dyDescent="0.3">
      <c r="A660" s="3">
        <v>45398</v>
      </c>
      <c r="B660" s="4">
        <v>22147.9</v>
      </c>
      <c r="C660" s="7">
        <v>658</v>
      </c>
      <c r="D660" s="5">
        <f t="shared" si="10"/>
        <v>-5.6100497425024482E-3</v>
      </c>
    </row>
    <row r="661" spans="1:4" x14ac:dyDescent="0.3">
      <c r="A661" s="3">
        <v>45400</v>
      </c>
      <c r="B661" s="4">
        <v>21995.85</v>
      </c>
      <c r="C661" s="7">
        <v>659</v>
      </c>
      <c r="D661" s="5">
        <f t="shared" si="10"/>
        <v>-6.8888846695565574E-3</v>
      </c>
    </row>
    <row r="662" spans="1:4" x14ac:dyDescent="0.3">
      <c r="A662" s="3">
        <v>45401</v>
      </c>
      <c r="B662" s="4">
        <v>22147</v>
      </c>
      <c r="C662" s="7">
        <v>660</v>
      </c>
      <c r="D662" s="5">
        <f t="shared" si="10"/>
        <v>6.8482479371053118E-3</v>
      </c>
    </row>
    <row r="663" spans="1:4" x14ac:dyDescent="0.3">
      <c r="A663" s="3">
        <v>45404</v>
      </c>
      <c r="B663" s="4">
        <v>22336.400000000001</v>
      </c>
      <c r="C663" s="7">
        <v>661</v>
      </c>
      <c r="D663" s="5">
        <f t="shared" si="10"/>
        <v>8.5155875913575322E-3</v>
      </c>
    </row>
    <row r="664" spans="1:4" x14ac:dyDescent="0.3">
      <c r="A664" s="3">
        <v>45405</v>
      </c>
      <c r="B664" s="4">
        <v>22368</v>
      </c>
      <c r="C664" s="7">
        <v>662</v>
      </c>
      <c r="D664" s="5">
        <f t="shared" si="10"/>
        <v>1.4137313223340777E-3</v>
      </c>
    </row>
    <row r="665" spans="1:4" x14ac:dyDescent="0.3">
      <c r="A665" s="3">
        <v>45406</v>
      </c>
      <c r="B665" s="4">
        <v>22402.400000000001</v>
      </c>
      <c r="C665" s="7">
        <v>663</v>
      </c>
      <c r="D665" s="5">
        <f t="shared" si="10"/>
        <v>1.5367299273513811E-3</v>
      </c>
    </row>
    <row r="666" spans="1:4" x14ac:dyDescent="0.3">
      <c r="A666" s="3">
        <v>45407</v>
      </c>
      <c r="B666" s="4">
        <v>22570.35</v>
      </c>
      <c r="C666" s="7">
        <v>664</v>
      </c>
      <c r="D666" s="5">
        <f t="shared" si="10"/>
        <v>7.4690020410453127E-3</v>
      </c>
    </row>
    <row r="667" spans="1:4" x14ac:dyDescent="0.3">
      <c r="A667" s="3">
        <v>45408</v>
      </c>
      <c r="B667" s="4">
        <v>22419.95</v>
      </c>
      <c r="C667" s="7">
        <v>665</v>
      </c>
      <c r="D667" s="5">
        <f t="shared" si="10"/>
        <v>-6.6859105299196739E-3</v>
      </c>
    </row>
    <row r="668" spans="1:4" x14ac:dyDescent="0.3">
      <c r="A668" s="3">
        <v>45411</v>
      </c>
      <c r="B668" s="4">
        <v>22643.4</v>
      </c>
      <c r="C668" s="7">
        <v>666</v>
      </c>
      <c r="D668" s="5">
        <f t="shared" si="10"/>
        <v>9.9172312481621942E-3</v>
      </c>
    </row>
    <row r="669" spans="1:4" x14ac:dyDescent="0.3">
      <c r="A669" s="3">
        <v>45412</v>
      </c>
      <c r="B669" s="4">
        <v>22604.85</v>
      </c>
      <c r="C669" s="7">
        <v>667</v>
      </c>
      <c r="D669" s="5">
        <f t="shared" si="10"/>
        <v>-1.7039337135533136E-3</v>
      </c>
    </row>
    <row r="670" spans="1:4" x14ac:dyDescent="0.3">
      <c r="A670" s="3">
        <v>45414</v>
      </c>
      <c r="B670" s="4">
        <v>22648.2</v>
      </c>
      <c r="C670" s="7">
        <v>668</v>
      </c>
      <c r="D670" s="5">
        <f t="shared" si="10"/>
        <v>1.9158935479583357E-3</v>
      </c>
    </row>
    <row r="671" spans="1:4" x14ac:dyDescent="0.3">
      <c r="A671" s="3">
        <v>45415</v>
      </c>
      <c r="B671" s="4">
        <v>22475.85</v>
      </c>
      <c r="C671" s="7">
        <v>669</v>
      </c>
      <c r="D671" s="5">
        <f t="shared" si="10"/>
        <v>-7.6389791301331271E-3</v>
      </c>
    </row>
    <row r="672" spans="1:4" x14ac:dyDescent="0.3">
      <c r="A672" s="3">
        <v>45418</v>
      </c>
      <c r="B672" s="4">
        <v>22442.7</v>
      </c>
      <c r="C672" s="7">
        <v>670</v>
      </c>
      <c r="D672" s="5">
        <f t="shared" si="10"/>
        <v>-1.476005170173867E-3</v>
      </c>
    </row>
    <row r="673" spans="1:4" x14ac:dyDescent="0.3">
      <c r="A673" s="3">
        <v>45419</v>
      </c>
      <c r="B673" s="4">
        <v>22302.5</v>
      </c>
      <c r="C673" s="7">
        <v>671</v>
      </c>
      <c r="D673" s="5">
        <f t="shared" si="10"/>
        <v>-6.2666144663355581E-3</v>
      </c>
    </row>
    <row r="674" spans="1:4" x14ac:dyDescent="0.3">
      <c r="A674" s="3">
        <v>45420</v>
      </c>
      <c r="B674" s="4">
        <v>22302.5</v>
      </c>
      <c r="C674" s="7">
        <v>672</v>
      </c>
      <c r="D674" s="5">
        <f t="shared" si="10"/>
        <v>0</v>
      </c>
    </row>
    <row r="675" spans="1:4" x14ac:dyDescent="0.3">
      <c r="A675" s="3">
        <v>45421</v>
      </c>
      <c r="B675" s="4">
        <v>21957.5</v>
      </c>
      <c r="C675" s="7">
        <v>673</v>
      </c>
      <c r="D675" s="5">
        <f t="shared" si="10"/>
        <v>-1.5590012996666094E-2</v>
      </c>
    </row>
    <row r="676" spans="1:4" x14ac:dyDescent="0.3">
      <c r="A676" s="3">
        <v>45422</v>
      </c>
      <c r="B676" s="4">
        <v>22055.200000000001</v>
      </c>
      <c r="C676" s="7">
        <v>674</v>
      </c>
      <c r="D676" s="5">
        <f t="shared" si="10"/>
        <v>4.4396349451461085E-3</v>
      </c>
    </row>
    <row r="677" spans="1:4" x14ac:dyDescent="0.3">
      <c r="A677" s="3">
        <v>45425</v>
      </c>
      <c r="B677" s="4">
        <v>22104.05</v>
      </c>
      <c r="C677" s="7">
        <v>675</v>
      </c>
      <c r="D677" s="5">
        <f t="shared" si="10"/>
        <v>2.2124478982964036E-3</v>
      </c>
    </row>
    <row r="678" spans="1:4" x14ac:dyDescent="0.3">
      <c r="A678" s="3">
        <v>45426</v>
      </c>
      <c r="B678" s="4">
        <v>22217.85</v>
      </c>
      <c r="C678" s="7">
        <v>676</v>
      </c>
      <c r="D678" s="5">
        <f t="shared" si="10"/>
        <v>5.1351702014188691E-3</v>
      </c>
    </row>
    <row r="679" spans="1:4" x14ac:dyDescent="0.3">
      <c r="A679" s="3">
        <v>45427</v>
      </c>
      <c r="B679" s="4">
        <v>22200.55</v>
      </c>
      <c r="C679" s="7">
        <v>677</v>
      </c>
      <c r="D679" s="5">
        <f t="shared" si="10"/>
        <v>-7.7895650787794773E-4</v>
      </c>
    </row>
    <row r="680" spans="1:4" x14ac:dyDescent="0.3">
      <c r="A680" s="3">
        <v>45428</v>
      </c>
      <c r="B680" s="4">
        <v>22403.85</v>
      </c>
      <c r="C680" s="7">
        <v>678</v>
      </c>
      <c r="D680" s="5">
        <f t="shared" si="10"/>
        <v>9.115755746059738E-3</v>
      </c>
    </row>
    <row r="681" spans="1:4" x14ac:dyDescent="0.3">
      <c r="A681" s="3">
        <v>45429</v>
      </c>
      <c r="B681" s="4">
        <v>22466.1</v>
      </c>
      <c r="C681" s="7">
        <v>679</v>
      </c>
      <c r="D681" s="5">
        <f t="shared" si="10"/>
        <v>2.7746872879504058E-3</v>
      </c>
    </row>
    <row r="682" spans="1:4" x14ac:dyDescent="0.3">
      <c r="A682" s="3">
        <v>45430</v>
      </c>
      <c r="B682" s="4">
        <v>22502</v>
      </c>
      <c r="C682" s="7">
        <v>680</v>
      </c>
      <c r="D682" s="5">
        <f t="shared" si="10"/>
        <v>1.5966877687512294E-3</v>
      </c>
    </row>
    <row r="683" spans="1:4" x14ac:dyDescent="0.3">
      <c r="A683" s="3">
        <v>45433</v>
      </c>
      <c r="B683" s="4">
        <v>22529.05</v>
      </c>
      <c r="C683" s="7">
        <v>681</v>
      </c>
      <c r="D683" s="5">
        <f t="shared" si="10"/>
        <v>1.2013934053743151E-3</v>
      </c>
    </row>
    <row r="684" spans="1:4" x14ac:dyDescent="0.3">
      <c r="A684" s="3">
        <v>45434</v>
      </c>
      <c r="B684" s="4">
        <v>22597.8</v>
      </c>
      <c r="C684" s="7">
        <v>682</v>
      </c>
      <c r="D684" s="5">
        <f t="shared" si="10"/>
        <v>3.0469688528972257E-3</v>
      </c>
    </row>
    <row r="685" spans="1:4" x14ac:dyDescent="0.3">
      <c r="A685" s="3">
        <v>45435</v>
      </c>
      <c r="B685" s="4">
        <v>22967.65</v>
      </c>
      <c r="C685" s="7">
        <v>683</v>
      </c>
      <c r="D685" s="5">
        <f t="shared" si="10"/>
        <v>1.6234147702677632E-2</v>
      </c>
    </row>
    <row r="686" spans="1:4" x14ac:dyDescent="0.3">
      <c r="A686" s="3">
        <v>45436</v>
      </c>
      <c r="B686" s="4">
        <v>22957.1</v>
      </c>
      <c r="C686" s="7">
        <v>684</v>
      </c>
      <c r="D686" s="5">
        <f t="shared" si="10"/>
        <v>-4.5944725602593643E-4</v>
      </c>
    </row>
    <row r="687" spans="1:4" x14ac:dyDescent="0.3">
      <c r="A687" s="3">
        <v>45439</v>
      </c>
      <c r="B687" s="4">
        <v>22932.45</v>
      </c>
      <c r="C687" s="7">
        <v>685</v>
      </c>
      <c r="D687" s="5">
        <f t="shared" si="10"/>
        <v>-1.0743187662915156E-3</v>
      </c>
    </row>
    <row r="688" spans="1:4" x14ac:dyDescent="0.3">
      <c r="A688" s="3">
        <v>45440</v>
      </c>
      <c r="B688" s="4">
        <v>22888.15</v>
      </c>
      <c r="C688" s="7">
        <v>686</v>
      </c>
      <c r="D688" s="5">
        <f t="shared" si="10"/>
        <v>-1.9336287086089532E-3</v>
      </c>
    </row>
    <row r="689" spans="1:4" x14ac:dyDescent="0.3">
      <c r="A689" s="3">
        <v>45441</v>
      </c>
      <c r="B689" s="4">
        <v>22704.7</v>
      </c>
      <c r="C689" s="7">
        <v>687</v>
      </c>
      <c r="D689" s="5">
        <f t="shared" si="10"/>
        <v>-8.0473578649701855E-3</v>
      </c>
    </row>
    <row r="690" spans="1:4" x14ac:dyDescent="0.3">
      <c r="A690" s="3">
        <v>45442</v>
      </c>
      <c r="B690" s="4">
        <v>22488.65</v>
      </c>
      <c r="C690" s="7">
        <v>688</v>
      </c>
      <c r="D690" s="5">
        <f t="shared" si="10"/>
        <v>-9.5612140229056203E-3</v>
      </c>
    </row>
    <row r="691" spans="1:4" x14ac:dyDescent="0.3">
      <c r="A691" s="3">
        <v>45443</v>
      </c>
      <c r="B691" s="4">
        <v>22530.7</v>
      </c>
      <c r="C691" s="7">
        <v>689</v>
      </c>
      <c r="D691" s="5">
        <f t="shared" si="10"/>
        <v>1.8680861553376123E-3</v>
      </c>
    </row>
    <row r="692" spans="1:4" x14ac:dyDescent="0.3">
      <c r="A692" s="3">
        <v>45446</v>
      </c>
      <c r="B692" s="4">
        <v>23263.9</v>
      </c>
      <c r="C692" s="7">
        <v>690</v>
      </c>
      <c r="D692" s="5">
        <f t="shared" si="10"/>
        <v>3.2023979208572827E-2</v>
      </c>
    </row>
    <row r="693" spans="1:4" x14ac:dyDescent="0.3">
      <c r="A693" s="3">
        <v>45447</v>
      </c>
      <c r="B693" s="4">
        <v>21884.5</v>
      </c>
      <c r="C693" s="7">
        <v>691</v>
      </c>
      <c r="D693" s="5">
        <f t="shared" si="10"/>
        <v>-6.1124179171720965E-2</v>
      </c>
    </row>
    <row r="694" spans="1:4" x14ac:dyDescent="0.3">
      <c r="A694" s="3">
        <v>45448</v>
      </c>
      <c r="B694" s="4">
        <v>22620.35</v>
      </c>
      <c r="C694" s="7">
        <v>692</v>
      </c>
      <c r="D694" s="5">
        <f t="shared" si="10"/>
        <v>3.3071319917765837E-2</v>
      </c>
    </row>
    <row r="695" spans="1:4" x14ac:dyDescent="0.3">
      <c r="A695" s="3">
        <v>45449</v>
      </c>
      <c r="B695" s="4">
        <v>22821.4</v>
      </c>
      <c r="C695" s="7">
        <v>693</v>
      </c>
      <c r="D695" s="5">
        <f t="shared" si="10"/>
        <v>8.8487486443831614E-3</v>
      </c>
    </row>
    <row r="696" spans="1:4" x14ac:dyDescent="0.3">
      <c r="A696" s="3">
        <v>45450</v>
      </c>
      <c r="B696" s="4">
        <v>23290.15</v>
      </c>
      <c r="C696" s="7">
        <v>694</v>
      </c>
      <c r="D696" s="5">
        <f t="shared" si="10"/>
        <v>2.0331832162561177E-2</v>
      </c>
    </row>
    <row r="697" spans="1:4" x14ac:dyDescent="0.3">
      <c r="A697" s="3">
        <v>45453</v>
      </c>
      <c r="B697" s="4">
        <v>23259.200000000001</v>
      </c>
      <c r="C697" s="7">
        <v>695</v>
      </c>
      <c r="D697" s="5">
        <f t="shared" si="10"/>
        <v>-1.3297717180034533E-3</v>
      </c>
    </row>
    <row r="698" spans="1:4" x14ac:dyDescent="0.3">
      <c r="A698" s="3">
        <v>45454</v>
      </c>
      <c r="B698" s="4">
        <v>23264.85</v>
      </c>
      <c r="C698" s="7">
        <v>696</v>
      </c>
      <c r="D698" s="5">
        <f t="shared" si="10"/>
        <v>2.4288513264755015E-4</v>
      </c>
    </row>
    <row r="699" spans="1:4" x14ac:dyDescent="0.3">
      <c r="A699" s="3">
        <v>45455</v>
      </c>
      <c r="B699" s="4">
        <v>23322.95</v>
      </c>
      <c r="C699" s="7">
        <v>697</v>
      </c>
      <c r="D699" s="5">
        <f t="shared" si="10"/>
        <v>2.4942165167948799E-3</v>
      </c>
    </row>
    <row r="700" spans="1:4" x14ac:dyDescent="0.3">
      <c r="A700" s="3">
        <v>45456</v>
      </c>
      <c r="B700" s="4">
        <v>23398.9</v>
      </c>
      <c r="C700" s="7">
        <v>698</v>
      </c>
      <c r="D700" s="5">
        <f t="shared" si="10"/>
        <v>3.2511583723450442E-3</v>
      </c>
    </row>
    <row r="701" spans="1:4" x14ac:dyDescent="0.3">
      <c r="A701" s="3">
        <v>45457</v>
      </c>
      <c r="B701" s="4">
        <v>23465.599999999999</v>
      </c>
      <c r="C701" s="7">
        <v>699</v>
      </c>
      <c r="D701" s="5">
        <f t="shared" si="10"/>
        <v>2.8465062056323236E-3</v>
      </c>
    </row>
    <row r="702" spans="1:4" x14ac:dyDescent="0.3">
      <c r="A702" s="3">
        <v>45461</v>
      </c>
      <c r="B702" s="4">
        <v>23557.9</v>
      </c>
      <c r="C702" s="7">
        <v>700</v>
      </c>
      <c r="D702" s="5">
        <f t="shared" si="10"/>
        <v>3.9257017677237702E-3</v>
      </c>
    </row>
    <row r="703" spans="1:4" x14ac:dyDescent="0.3">
      <c r="A703" s="3">
        <v>45462</v>
      </c>
      <c r="B703" s="4">
        <v>23516</v>
      </c>
      <c r="C703" s="7">
        <v>701</v>
      </c>
      <c r="D703" s="5">
        <f t="shared" si="10"/>
        <v>-1.7801801450586289E-3</v>
      </c>
    </row>
    <row r="704" spans="1:4" x14ac:dyDescent="0.3">
      <c r="A704" s="3">
        <v>45463</v>
      </c>
      <c r="B704" s="4">
        <v>23567</v>
      </c>
      <c r="C704" s="7">
        <v>702</v>
      </c>
      <c r="D704" s="5">
        <f t="shared" si="10"/>
        <v>2.1663878659495613E-3</v>
      </c>
    </row>
    <row r="705" spans="1:4" x14ac:dyDescent="0.3">
      <c r="A705" s="3">
        <v>45464</v>
      </c>
      <c r="B705" s="4">
        <v>23501.1</v>
      </c>
      <c r="C705" s="7">
        <v>703</v>
      </c>
      <c r="D705" s="5">
        <f t="shared" si="10"/>
        <v>-2.800199840690768E-3</v>
      </c>
    </row>
    <row r="706" spans="1:4" x14ac:dyDescent="0.3">
      <c r="A706" s="3">
        <v>45467</v>
      </c>
      <c r="B706" s="4">
        <v>23537.85</v>
      </c>
      <c r="C706" s="7">
        <v>704</v>
      </c>
      <c r="D706" s="5">
        <f t="shared" si="10"/>
        <v>1.5625351959234377E-3</v>
      </c>
    </row>
    <row r="707" spans="1:4" x14ac:dyDescent="0.3">
      <c r="A707" s="3">
        <v>45468</v>
      </c>
      <c r="B707" s="4">
        <v>23721.3</v>
      </c>
      <c r="C707" s="7">
        <v>705</v>
      </c>
      <c r="D707" s="5">
        <f t="shared" ref="D707:D770" si="11">LN(B707/B706)</f>
        <v>7.7636149373623573E-3</v>
      </c>
    </row>
    <row r="708" spans="1:4" x14ac:dyDescent="0.3">
      <c r="A708" s="3">
        <v>45469</v>
      </c>
      <c r="B708" s="4">
        <v>23868.799999999999</v>
      </c>
      <c r="C708" s="7">
        <v>706</v>
      </c>
      <c r="D708" s="5">
        <f t="shared" si="11"/>
        <v>6.1987880801539115E-3</v>
      </c>
    </row>
    <row r="709" spans="1:4" x14ac:dyDescent="0.3">
      <c r="A709" s="3">
        <v>45470</v>
      </c>
      <c r="B709" s="4">
        <v>24044.5</v>
      </c>
      <c r="C709" s="7">
        <v>707</v>
      </c>
      <c r="D709" s="5">
        <f t="shared" si="11"/>
        <v>7.3341133907751897E-3</v>
      </c>
    </row>
    <row r="710" spans="1:4" x14ac:dyDescent="0.3">
      <c r="A710" s="3">
        <v>45471</v>
      </c>
      <c r="B710" s="4">
        <v>24010.6</v>
      </c>
      <c r="C710" s="7">
        <v>708</v>
      </c>
      <c r="D710" s="5">
        <f t="shared" si="11"/>
        <v>-1.4108806608831069E-3</v>
      </c>
    </row>
    <row r="711" spans="1:4" x14ac:dyDescent="0.3">
      <c r="A711" s="3">
        <v>45474</v>
      </c>
      <c r="B711" s="4">
        <v>24141.95</v>
      </c>
      <c r="C711" s="7">
        <v>709</v>
      </c>
      <c r="D711" s="5">
        <f t="shared" si="11"/>
        <v>5.4555916887449258E-3</v>
      </c>
    </row>
    <row r="712" spans="1:4" x14ac:dyDescent="0.3">
      <c r="A712" s="3">
        <v>45475</v>
      </c>
      <c r="B712" s="4">
        <v>24123.85</v>
      </c>
      <c r="C712" s="7">
        <v>710</v>
      </c>
      <c r="D712" s="5">
        <f t="shared" si="11"/>
        <v>-7.5001350225091805E-4</v>
      </c>
    </row>
    <row r="713" spans="1:4" x14ac:dyDescent="0.3">
      <c r="A713" s="3">
        <v>45476</v>
      </c>
      <c r="B713" s="4">
        <v>24286.5</v>
      </c>
      <c r="C713" s="7">
        <v>711</v>
      </c>
      <c r="D713" s="5">
        <f t="shared" si="11"/>
        <v>6.7196627176867064E-3</v>
      </c>
    </row>
    <row r="714" spans="1:4" x14ac:dyDescent="0.3">
      <c r="A714" s="3">
        <v>45477</v>
      </c>
      <c r="B714" s="4">
        <v>24302.15</v>
      </c>
      <c r="C714" s="7">
        <v>712</v>
      </c>
      <c r="D714" s="5">
        <f t="shared" si="11"/>
        <v>6.4418338608693553E-4</v>
      </c>
    </row>
    <row r="715" spans="1:4" x14ac:dyDescent="0.3">
      <c r="A715" s="3">
        <v>45478</v>
      </c>
      <c r="B715" s="4">
        <v>24323.85</v>
      </c>
      <c r="C715" s="7">
        <v>713</v>
      </c>
      <c r="D715" s="5">
        <f t="shared" si="11"/>
        <v>8.9252669109216129E-4</v>
      </c>
    </row>
    <row r="716" spans="1:4" x14ac:dyDescent="0.3">
      <c r="A716" s="3">
        <v>45481</v>
      </c>
      <c r="B716" s="4">
        <v>24320.55</v>
      </c>
      <c r="C716" s="7">
        <v>714</v>
      </c>
      <c r="D716" s="5">
        <f t="shared" si="11"/>
        <v>-1.3567851613180805E-4</v>
      </c>
    </row>
    <row r="717" spans="1:4" x14ac:dyDescent="0.3">
      <c r="A717" s="3">
        <v>45482</v>
      </c>
      <c r="B717" s="4">
        <v>24433.200000000001</v>
      </c>
      <c r="C717" s="7">
        <v>715</v>
      </c>
      <c r="D717" s="5">
        <f t="shared" si="11"/>
        <v>4.621191209858602E-3</v>
      </c>
    </row>
    <row r="718" spans="1:4" x14ac:dyDescent="0.3">
      <c r="A718" s="3">
        <v>45483</v>
      </c>
      <c r="B718" s="4">
        <v>24324.45</v>
      </c>
      <c r="C718" s="7">
        <v>716</v>
      </c>
      <c r="D718" s="5">
        <f t="shared" si="11"/>
        <v>-4.4608458502798307E-3</v>
      </c>
    </row>
    <row r="719" spans="1:4" x14ac:dyDescent="0.3">
      <c r="A719" s="3">
        <v>45484</v>
      </c>
      <c r="B719" s="4">
        <v>24315.95</v>
      </c>
      <c r="C719" s="7">
        <v>717</v>
      </c>
      <c r="D719" s="5">
        <f t="shared" si="11"/>
        <v>-3.4950370829703764E-4</v>
      </c>
    </row>
    <row r="720" spans="1:4" x14ac:dyDescent="0.3">
      <c r="A720" s="3">
        <v>45485</v>
      </c>
      <c r="B720" s="4">
        <v>24502.15</v>
      </c>
      <c r="C720" s="7">
        <v>718</v>
      </c>
      <c r="D720" s="5">
        <f t="shared" si="11"/>
        <v>7.6283551773595644E-3</v>
      </c>
    </row>
    <row r="721" spans="1:4" x14ac:dyDescent="0.3">
      <c r="A721" s="3">
        <v>45488</v>
      </c>
      <c r="B721" s="4">
        <v>24586.7</v>
      </c>
      <c r="C721" s="7">
        <v>719</v>
      </c>
      <c r="D721" s="5">
        <f t="shared" si="11"/>
        <v>3.4447775252144188E-3</v>
      </c>
    </row>
    <row r="722" spans="1:4" x14ac:dyDescent="0.3">
      <c r="A722" s="3">
        <v>45489</v>
      </c>
      <c r="B722" s="4">
        <v>24613</v>
      </c>
      <c r="C722" s="7">
        <v>720</v>
      </c>
      <c r="D722" s="5">
        <f t="shared" si="11"/>
        <v>1.0691123118667994E-3</v>
      </c>
    </row>
    <row r="723" spans="1:4" x14ac:dyDescent="0.3">
      <c r="A723" s="3">
        <v>45491</v>
      </c>
      <c r="B723" s="4">
        <v>24800.85</v>
      </c>
      <c r="C723" s="7">
        <v>721</v>
      </c>
      <c r="D723" s="5">
        <f t="shared" si="11"/>
        <v>7.6031681375885599E-3</v>
      </c>
    </row>
    <row r="724" spans="1:4" x14ac:dyDescent="0.3">
      <c r="A724" s="3">
        <v>45492</v>
      </c>
      <c r="B724" s="4">
        <v>24530.9</v>
      </c>
      <c r="C724" s="7">
        <v>722</v>
      </c>
      <c r="D724" s="5">
        <f t="shared" si="11"/>
        <v>-1.0944379412161618E-2</v>
      </c>
    </row>
    <row r="725" spans="1:4" x14ac:dyDescent="0.3">
      <c r="A725" s="3">
        <v>45495</v>
      </c>
      <c r="B725" s="4">
        <v>24509.25</v>
      </c>
      <c r="C725" s="7">
        <v>723</v>
      </c>
      <c r="D725" s="5">
        <f t="shared" si="11"/>
        <v>-8.8295004833916055E-4</v>
      </c>
    </row>
    <row r="726" spans="1:4" x14ac:dyDescent="0.3">
      <c r="A726" s="3">
        <v>45496</v>
      </c>
      <c r="B726" s="4">
        <v>24479.05</v>
      </c>
      <c r="C726" s="7">
        <v>724</v>
      </c>
      <c r="D726" s="5">
        <f t="shared" si="11"/>
        <v>-1.2329476150728363E-3</v>
      </c>
    </row>
    <row r="727" spans="1:4" x14ac:dyDescent="0.3">
      <c r="A727" s="3">
        <v>45497</v>
      </c>
      <c r="B727" s="4">
        <v>24413.5</v>
      </c>
      <c r="C727" s="7">
        <v>725</v>
      </c>
      <c r="D727" s="5">
        <f t="shared" si="11"/>
        <v>-2.6813917161045081E-3</v>
      </c>
    </row>
    <row r="728" spans="1:4" x14ac:dyDescent="0.3">
      <c r="A728" s="3">
        <v>45498</v>
      </c>
      <c r="B728" s="4">
        <v>24406.1</v>
      </c>
      <c r="C728" s="7">
        <v>726</v>
      </c>
      <c r="D728" s="5">
        <f t="shared" si="11"/>
        <v>-3.0315693109630526E-4</v>
      </c>
    </row>
    <row r="729" spans="1:4" x14ac:dyDescent="0.3">
      <c r="A729" s="3">
        <v>45499</v>
      </c>
      <c r="B729" s="4">
        <v>24834.85</v>
      </c>
      <c r="C729" s="7">
        <v>727</v>
      </c>
      <c r="D729" s="5">
        <f t="shared" si="11"/>
        <v>1.7414807623613839E-2</v>
      </c>
    </row>
    <row r="730" spans="1:4" x14ac:dyDescent="0.3">
      <c r="A730" s="3">
        <v>45502</v>
      </c>
      <c r="B730" s="4">
        <v>24836.1</v>
      </c>
      <c r="C730" s="7">
        <v>728</v>
      </c>
      <c r="D730" s="5">
        <f t="shared" si="11"/>
        <v>5.0331229834195685E-5</v>
      </c>
    </row>
    <row r="731" spans="1:4" x14ac:dyDescent="0.3">
      <c r="A731" s="3">
        <v>45503</v>
      </c>
      <c r="B731" s="4">
        <v>24857.3</v>
      </c>
      <c r="C731" s="7">
        <v>729</v>
      </c>
      <c r="D731" s="5">
        <f t="shared" si="11"/>
        <v>8.5323207050211575E-4</v>
      </c>
    </row>
    <row r="732" spans="1:4" x14ac:dyDescent="0.3">
      <c r="A732" s="3">
        <v>45504</v>
      </c>
      <c r="B732" s="4">
        <v>24951.15</v>
      </c>
      <c r="C732" s="7">
        <v>730</v>
      </c>
      <c r="D732" s="5">
        <f t="shared" si="11"/>
        <v>3.7684413413710642E-3</v>
      </c>
    </row>
    <row r="733" spans="1:4" x14ac:dyDescent="0.3">
      <c r="A733" s="3">
        <v>45505</v>
      </c>
      <c r="B733" s="4">
        <v>25010.9</v>
      </c>
      <c r="C733" s="7">
        <v>731</v>
      </c>
      <c r="D733" s="5">
        <f t="shared" si="11"/>
        <v>2.3918165281347566E-3</v>
      </c>
    </row>
    <row r="734" spans="1:4" x14ac:dyDescent="0.3">
      <c r="A734" s="3">
        <v>45506</v>
      </c>
      <c r="B734" s="4">
        <v>24717.7</v>
      </c>
      <c r="C734" s="7">
        <v>732</v>
      </c>
      <c r="D734" s="5">
        <f t="shared" si="11"/>
        <v>-1.179214365820847E-2</v>
      </c>
    </row>
    <row r="735" spans="1:4" x14ac:dyDescent="0.3">
      <c r="A735" s="3">
        <v>45509</v>
      </c>
      <c r="B735" s="4">
        <v>24055.599999999999</v>
      </c>
      <c r="C735" s="7">
        <v>733</v>
      </c>
      <c r="D735" s="5">
        <f t="shared" si="11"/>
        <v>-2.7151768509934573E-2</v>
      </c>
    </row>
    <row r="736" spans="1:4" x14ac:dyDescent="0.3">
      <c r="A736" s="3">
        <v>45510</v>
      </c>
      <c r="B736" s="4">
        <v>23992.55</v>
      </c>
      <c r="C736" s="7">
        <v>734</v>
      </c>
      <c r="D736" s="5">
        <f t="shared" si="11"/>
        <v>-2.6244521876233645E-3</v>
      </c>
    </row>
    <row r="737" spans="1:4" x14ac:dyDescent="0.3">
      <c r="A737" s="3">
        <v>45511</v>
      </c>
      <c r="B737" s="4">
        <v>24297.5</v>
      </c>
      <c r="C737" s="7">
        <v>735</v>
      </c>
      <c r="D737" s="5">
        <f t="shared" si="11"/>
        <v>1.2630098903435905E-2</v>
      </c>
    </row>
    <row r="738" spans="1:4" x14ac:dyDescent="0.3">
      <c r="A738" s="3">
        <v>45512</v>
      </c>
      <c r="B738" s="4">
        <v>24117</v>
      </c>
      <c r="C738" s="7">
        <v>736</v>
      </c>
      <c r="D738" s="5">
        <f t="shared" si="11"/>
        <v>-7.4564783815551433E-3</v>
      </c>
    </row>
    <row r="739" spans="1:4" x14ac:dyDescent="0.3">
      <c r="A739" s="3">
        <v>45513</v>
      </c>
      <c r="B739" s="4">
        <v>24367.5</v>
      </c>
      <c r="C739" s="7">
        <v>737</v>
      </c>
      <c r="D739" s="5">
        <f t="shared" si="11"/>
        <v>1.0333291215294636E-2</v>
      </c>
    </row>
    <row r="740" spans="1:4" x14ac:dyDescent="0.3">
      <c r="A740" s="3">
        <v>45516</v>
      </c>
      <c r="B740" s="4">
        <v>24347</v>
      </c>
      <c r="C740" s="7">
        <v>738</v>
      </c>
      <c r="D740" s="5">
        <f t="shared" si="11"/>
        <v>-8.4163857619835045E-4</v>
      </c>
    </row>
    <row r="741" spans="1:4" x14ac:dyDescent="0.3">
      <c r="A741" s="3">
        <v>45517</v>
      </c>
      <c r="B741" s="4">
        <v>24139</v>
      </c>
      <c r="C741" s="7">
        <v>739</v>
      </c>
      <c r="D741" s="5">
        <f t="shared" si="11"/>
        <v>-8.5798488623965701E-3</v>
      </c>
    </row>
    <row r="742" spans="1:4" x14ac:dyDescent="0.3">
      <c r="A742" s="3">
        <v>45518</v>
      </c>
      <c r="B742" s="4">
        <v>24143.75</v>
      </c>
      <c r="C742" s="7">
        <v>740</v>
      </c>
      <c r="D742" s="5">
        <f t="shared" si="11"/>
        <v>1.967576418212346E-4</v>
      </c>
    </row>
    <row r="743" spans="1:4" x14ac:dyDescent="0.3">
      <c r="A743" s="3">
        <v>45520</v>
      </c>
      <c r="B743" s="4">
        <v>24541.15</v>
      </c>
      <c r="C743" s="7">
        <v>741</v>
      </c>
      <c r="D743" s="5">
        <f t="shared" si="11"/>
        <v>1.6325753017997963E-2</v>
      </c>
    </row>
    <row r="744" spans="1:4" x14ac:dyDescent="0.3">
      <c r="A744" s="3">
        <v>45523</v>
      </c>
      <c r="B744" s="4">
        <v>24572.65</v>
      </c>
      <c r="C744" s="7">
        <v>742</v>
      </c>
      <c r="D744" s="5">
        <f t="shared" si="11"/>
        <v>1.2827353745464452E-3</v>
      </c>
    </row>
    <row r="745" spans="1:4" x14ac:dyDescent="0.3">
      <c r="A745" s="3">
        <v>45524</v>
      </c>
      <c r="B745" s="4">
        <v>24698.85</v>
      </c>
      <c r="C745" s="7">
        <v>743</v>
      </c>
      <c r="D745" s="5">
        <f t="shared" si="11"/>
        <v>5.1226480205889434E-3</v>
      </c>
    </row>
    <row r="746" spans="1:4" x14ac:dyDescent="0.3">
      <c r="A746" s="3">
        <v>45525</v>
      </c>
      <c r="B746" s="4">
        <v>24770.2</v>
      </c>
      <c r="C746" s="7">
        <v>744</v>
      </c>
      <c r="D746" s="5">
        <f t="shared" si="11"/>
        <v>2.8846339064908873E-3</v>
      </c>
    </row>
    <row r="747" spans="1:4" x14ac:dyDescent="0.3">
      <c r="A747" s="3">
        <v>45526</v>
      </c>
      <c r="B747" s="4">
        <v>24811.5</v>
      </c>
      <c r="C747" s="7">
        <v>745</v>
      </c>
      <c r="D747" s="5">
        <f t="shared" si="11"/>
        <v>1.6659376161698191E-3</v>
      </c>
    </row>
    <row r="748" spans="1:4" x14ac:dyDescent="0.3">
      <c r="A748" s="3">
        <v>45527</v>
      </c>
      <c r="B748" s="4">
        <v>24823.15</v>
      </c>
      <c r="C748" s="7">
        <v>746</v>
      </c>
      <c r="D748" s="5">
        <f t="shared" si="11"/>
        <v>4.6943013455067465E-4</v>
      </c>
    </row>
    <row r="749" spans="1:4" x14ac:dyDescent="0.3">
      <c r="A749" s="3">
        <v>45530</v>
      </c>
      <c r="B749" s="4">
        <v>25010.6</v>
      </c>
      <c r="C749" s="7">
        <v>747</v>
      </c>
      <c r="D749" s="5">
        <f t="shared" si="11"/>
        <v>7.5230495028018388E-3</v>
      </c>
    </row>
    <row r="750" spans="1:4" x14ac:dyDescent="0.3">
      <c r="A750" s="3">
        <v>45531</v>
      </c>
      <c r="B750" s="4">
        <v>25017.75</v>
      </c>
      <c r="C750" s="7">
        <v>748</v>
      </c>
      <c r="D750" s="5">
        <f t="shared" si="11"/>
        <v>2.8583793184004246E-4</v>
      </c>
    </row>
    <row r="751" spans="1:4" x14ac:dyDescent="0.3">
      <c r="A751" s="3">
        <v>45532</v>
      </c>
      <c r="B751" s="4">
        <v>25052.35</v>
      </c>
      <c r="C751" s="7">
        <v>749</v>
      </c>
      <c r="D751" s="5">
        <f t="shared" si="11"/>
        <v>1.3820625685767348E-3</v>
      </c>
    </row>
    <row r="752" spans="1:4" x14ac:dyDescent="0.3">
      <c r="A752" s="3">
        <v>45533</v>
      </c>
      <c r="B752" s="4">
        <v>25151.95</v>
      </c>
      <c r="C752" s="7">
        <v>750</v>
      </c>
      <c r="D752" s="5">
        <f t="shared" si="11"/>
        <v>3.9677928253165316E-3</v>
      </c>
    </row>
    <row r="753" spans="1:4" x14ac:dyDescent="0.3">
      <c r="A753" s="3">
        <v>45534</v>
      </c>
      <c r="B753" s="4">
        <v>25235.9</v>
      </c>
      <c r="C753" s="7">
        <v>751</v>
      </c>
      <c r="D753" s="5">
        <f t="shared" si="11"/>
        <v>3.332155576256976E-3</v>
      </c>
    </row>
    <row r="754" spans="1:4" x14ac:dyDescent="0.3">
      <c r="A754" s="3">
        <v>45537</v>
      </c>
      <c r="B754" s="4">
        <v>25278.7</v>
      </c>
      <c r="C754" s="7">
        <v>752</v>
      </c>
      <c r="D754" s="5">
        <f t="shared" si="11"/>
        <v>1.6945599981708784E-3</v>
      </c>
    </row>
    <row r="755" spans="1:4" x14ac:dyDescent="0.3">
      <c r="A755" s="3">
        <v>45538</v>
      </c>
      <c r="B755" s="4">
        <v>25279.85</v>
      </c>
      <c r="C755" s="7">
        <v>753</v>
      </c>
      <c r="D755" s="5">
        <f t="shared" si="11"/>
        <v>4.5491810987265924E-5</v>
      </c>
    </row>
    <row r="756" spans="1:4" x14ac:dyDescent="0.3">
      <c r="A756" s="3">
        <v>45539</v>
      </c>
      <c r="B756" s="4">
        <v>25198.7</v>
      </c>
      <c r="C756" s="7">
        <v>754</v>
      </c>
      <c r="D756" s="5">
        <f t="shared" si="11"/>
        <v>-3.2152298316295127E-3</v>
      </c>
    </row>
    <row r="757" spans="1:4" x14ac:dyDescent="0.3">
      <c r="A757" s="3">
        <v>45540</v>
      </c>
      <c r="B757" s="4">
        <v>25145.1</v>
      </c>
      <c r="C757" s="7">
        <v>755</v>
      </c>
      <c r="D757" s="5">
        <f t="shared" si="11"/>
        <v>-2.1293593353156458E-3</v>
      </c>
    </row>
    <row r="758" spans="1:4" x14ac:dyDescent="0.3">
      <c r="A758" s="3">
        <v>45541</v>
      </c>
      <c r="B758" s="4">
        <v>24852.15</v>
      </c>
      <c r="C758" s="7">
        <v>756</v>
      </c>
      <c r="D758" s="5">
        <f t="shared" si="11"/>
        <v>-1.1718778635040884E-2</v>
      </c>
    </row>
    <row r="759" spans="1:4" x14ac:dyDescent="0.3">
      <c r="A759" s="3">
        <v>45544</v>
      </c>
      <c r="B759" s="4">
        <v>24936.400000000001</v>
      </c>
      <c r="C759" s="7">
        <v>757</v>
      </c>
      <c r="D759" s="5">
        <f t="shared" si="11"/>
        <v>3.3843154867430215E-3</v>
      </c>
    </row>
    <row r="760" spans="1:4" x14ac:dyDescent="0.3">
      <c r="A760" s="3">
        <v>45545</v>
      </c>
      <c r="B760" s="4">
        <v>25041.1</v>
      </c>
      <c r="C760" s="7">
        <v>758</v>
      </c>
      <c r="D760" s="5">
        <f t="shared" si="11"/>
        <v>4.1898915779699352E-3</v>
      </c>
    </row>
    <row r="761" spans="1:4" x14ac:dyDescent="0.3">
      <c r="A761" s="3">
        <v>45546</v>
      </c>
      <c r="B761" s="4">
        <v>24918.45</v>
      </c>
      <c r="C761" s="7">
        <v>759</v>
      </c>
      <c r="D761" s="5">
        <f t="shared" si="11"/>
        <v>-4.9099820315822162E-3</v>
      </c>
    </row>
    <row r="762" spans="1:4" x14ac:dyDescent="0.3">
      <c r="A762" s="3">
        <v>45547</v>
      </c>
      <c r="B762" s="4">
        <v>25388.9</v>
      </c>
      <c r="C762" s="7">
        <v>760</v>
      </c>
      <c r="D762" s="5">
        <f t="shared" si="11"/>
        <v>1.8703577686811725E-2</v>
      </c>
    </row>
    <row r="763" spans="1:4" x14ac:dyDescent="0.3">
      <c r="A763" s="3">
        <v>45548</v>
      </c>
      <c r="B763" s="4">
        <v>25356.5</v>
      </c>
      <c r="C763" s="7">
        <v>761</v>
      </c>
      <c r="D763" s="5">
        <f t="shared" si="11"/>
        <v>-1.2769632085949123E-3</v>
      </c>
    </row>
    <row r="764" spans="1:4" x14ac:dyDescent="0.3">
      <c r="A764" s="3">
        <v>45551</v>
      </c>
      <c r="B764" s="4">
        <v>25383.75</v>
      </c>
      <c r="C764" s="7">
        <v>762</v>
      </c>
      <c r="D764" s="5">
        <f t="shared" si="11"/>
        <v>1.0740980826790941E-3</v>
      </c>
    </row>
    <row r="765" spans="1:4" x14ac:dyDescent="0.3">
      <c r="A765" s="3">
        <v>45552</v>
      </c>
      <c r="B765" s="4">
        <v>25418.55</v>
      </c>
      <c r="C765" s="7">
        <v>763</v>
      </c>
      <c r="D765" s="5">
        <f t="shared" si="11"/>
        <v>1.3700169261289907E-3</v>
      </c>
    </row>
    <row r="766" spans="1:4" x14ac:dyDescent="0.3">
      <c r="A766" s="3">
        <v>45553</v>
      </c>
      <c r="B766" s="4">
        <v>25377.55</v>
      </c>
      <c r="C766" s="7">
        <v>764</v>
      </c>
      <c r="D766" s="5">
        <f t="shared" si="11"/>
        <v>-1.6142975111744227E-3</v>
      </c>
    </row>
    <row r="767" spans="1:4" x14ac:dyDescent="0.3">
      <c r="A767" s="3">
        <v>45554</v>
      </c>
      <c r="B767" s="4">
        <v>25415.8</v>
      </c>
      <c r="C767" s="7">
        <v>765</v>
      </c>
      <c r="D767" s="5">
        <f t="shared" si="11"/>
        <v>1.5061029536485916E-3</v>
      </c>
    </row>
    <row r="768" spans="1:4" x14ac:dyDescent="0.3">
      <c r="A768" s="3">
        <v>45555</v>
      </c>
      <c r="B768" s="4">
        <v>25790.95</v>
      </c>
      <c r="C768" s="7">
        <v>766</v>
      </c>
      <c r="D768" s="5">
        <f t="shared" si="11"/>
        <v>1.4652627320371103E-2</v>
      </c>
    </row>
    <row r="769" spans="1:4" x14ac:dyDescent="0.3">
      <c r="A769" s="3">
        <v>45558</v>
      </c>
      <c r="B769" s="4">
        <v>25939.05</v>
      </c>
      <c r="C769" s="7">
        <v>767</v>
      </c>
      <c r="D769" s="5">
        <f t="shared" si="11"/>
        <v>5.7259000437972149E-3</v>
      </c>
    </row>
    <row r="770" spans="1:4" x14ac:dyDescent="0.3">
      <c r="A770" s="3">
        <v>45559</v>
      </c>
      <c r="B770" s="4">
        <v>25940.400000000001</v>
      </c>
      <c r="C770" s="7">
        <v>768</v>
      </c>
      <c r="D770" s="5">
        <f t="shared" si="11"/>
        <v>5.2043728308821627E-5</v>
      </c>
    </row>
    <row r="771" spans="1:4" x14ac:dyDescent="0.3">
      <c r="A771" s="3">
        <v>45560</v>
      </c>
      <c r="B771" s="4">
        <v>26004.15</v>
      </c>
      <c r="C771" s="7">
        <v>769</v>
      </c>
      <c r="D771" s="5">
        <f t="shared" ref="D771:D834" si="12">LN(B771/B770)</f>
        <v>2.4545416990469533E-3</v>
      </c>
    </row>
    <row r="772" spans="1:4" x14ac:dyDescent="0.3">
      <c r="A772" s="3">
        <v>45561</v>
      </c>
      <c r="B772" s="4">
        <v>26216.05</v>
      </c>
      <c r="C772" s="7">
        <v>770</v>
      </c>
      <c r="D772" s="5">
        <f t="shared" si="12"/>
        <v>8.1156779580020509E-3</v>
      </c>
    </row>
    <row r="773" spans="1:4" x14ac:dyDescent="0.3">
      <c r="A773" s="3">
        <v>45562</v>
      </c>
      <c r="B773" s="4">
        <v>26178.95</v>
      </c>
      <c r="C773" s="7">
        <v>771</v>
      </c>
      <c r="D773" s="5">
        <f t="shared" si="12"/>
        <v>-1.4161659013423675E-3</v>
      </c>
    </row>
    <row r="774" spans="1:4" x14ac:dyDescent="0.3">
      <c r="A774" s="3">
        <v>45565</v>
      </c>
      <c r="B774" s="4">
        <v>25810.85</v>
      </c>
      <c r="C774" s="7">
        <v>772</v>
      </c>
      <c r="D774" s="5">
        <f t="shared" si="12"/>
        <v>-1.4160706565616464E-2</v>
      </c>
    </row>
    <row r="775" spans="1:4" x14ac:dyDescent="0.3">
      <c r="A775" s="3">
        <v>45566</v>
      </c>
      <c r="B775" s="4">
        <v>25796.9</v>
      </c>
      <c r="C775" s="7">
        <v>773</v>
      </c>
      <c r="D775" s="5">
        <f t="shared" si="12"/>
        <v>-5.4061649034323775E-4</v>
      </c>
    </row>
    <row r="776" spans="1:4" x14ac:dyDescent="0.3">
      <c r="A776" s="3">
        <v>45568</v>
      </c>
      <c r="B776" s="4">
        <v>25250.1</v>
      </c>
      <c r="C776" s="7">
        <v>774</v>
      </c>
      <c r="D776" s="5">
        <f t="shared" si="12"/>
        <v>-2.1424213560051142E-2</v>
      </c>
    </row>
    <row r="777" spans="1:4" x14ac:dyDescent="0.3">
      <c r="A777" s="3">
        <v>45569</v>
      </c>
      <c r="B777" s="4">
        <v>25014.6</v>
      </c>
      <c r="C777" s="7">
        <v>775</v>
      </c>
      <c r="D777" s="5">
        <f t="shared" si="12"/>
        <v>-9.3704617030021236E-3</v>
      </c>
    </row>
    <row r="778" spans="1:4" x14ac:dyDescent="0.3">
      <c r="A778" s="3">
        <v>45572</v>
      </c>
      <c r="B778" s="4">
        <v>24795.75</v>
      </c>
      <c r="C778" s="7">
        <v>776</v>
      </c>
      <c r="D778" s="5">
        <f t="shared" si="12"/>
        <v>-8.7873868890513806E-3</v>
      </c>
    </row>
    <row r="779" spans="1:4" x14ac:dyDescent="0.3">
      <c r="A779" s="3">
        <v>45573</v>
      </c>
      <c r="B779" s="4">
        <v>25013.15</v>
      </c>
      <c r="C779" s="7">
        <v>777</v>
      </c>
      <c r="D779" s="5">
        <f t="shared" si="12"/>
        <v>8.7294190611797214E-3</v>
      </c>
    </row>
    <row r="780" spans="1:4" x14ac:dyDescent="0.3">
      <c r="A780" s="3">
        <v>45574</v>
      </c>
      <c r="B780" s="4">
        <v>24981.95</v>
      </c>
      <c r="C780" s="7">
        <v>778</v>
      </c>
      <c r="D780" s="5">
        <f t="shared" si="12"/>
        <v>-1.2481224780150524E-3</v>
      </c>
    </row>
    <row r="781" spans="1:4" x14ac:dyDescent="0.3">
      <c r="A781" s="3">
        <v>45575</v>
      </c>
      <c r="B781" s="4">
        <v>24998.45</v>
      </c>
      <c r="C781" s="7">
        <v>779</v>
      </c>
      <c r="D781" s="5">
        <f t="shared" si="12"/>
        <v>6.6025884544412166E-4</v>
      </c>
    </row>
    <row r="782" spans="1:4" x14ac:dyDescent="0.3">
      <c r="A782" s="3">
        <v>45576</v>
      </c>
      <c r="B782" s="4">
        <v>24964.25</v>
      </c>
      <c r="C782" s="7">
        <v>780</v>
      </c>
      <c r="D782" s="5">
        <f t="shared" si="12"/>
        <v>-1.3690215037028451E-3</v>
      </c>
    </row>
    <row r="783" spans="1:4" x14ac:dyDescent="0.3">
      <c r="A783" s="3">
        <v>45579</v>
      </c>
      <c r="B783" s="4">
        <v>25127.95</v>
      </c>
      <c r="C783" s="7">
        <v>781</v>
      </c>
      <c r="D783" s="5">
        <f t="shared" si="12"/>
        <v>6.5359709797854493E-3</v>
      </c>
    </row>
    <row r="784" spans="1:4" x14ac:dyDescent="0.3">
      <c r="A784" s="3">
        <v>45580</v>
      </c>
      <c r="B784" s="4">
        <v>25057.35</v>
      </c>
      <c r="C784" s="7">
        <v>782</v>
      </c>
      <c r="D784" s="5">
        <f t="shared" si="12"/>
        <v>-2.8135747549046168E-3</v>
      </c>
    </row>
    <row r="785" spans="1:4" x14ac:dyDescent="0.3">
      <c r="A785" s="3">
        <v>45581</v>
      </c>
      <c r="B785" s="4">
        <v>24971.3</v>
      </c>
      <c r="C785" s="7">
        <v>783</v>
      </c>
      <c r="D785" s="5">
        <f t="shared" si="12"/>
        <v>-3.4400322558512829E-3</v>
      </c>
    </row>
    <row r="786" spans="1:4" x14ac:dyDescent="0.3">
      <c r="A786" s="3">
        <v>45582</v>
      </c>
      <c r="B786" s="4">
        <v>24749.85</v>
      </c>
      <c r="C786" s="7">
        <v>784</v>
      </c>
      <c r="D786" s="5">
        <f t="shared" si="12"/>
        <v>-8.9077370211750866E-3</v>
      </c>
    </row>
    <row r="787" spans="1:4" x14ac:dyDescent="0.3">
      <c r="A787" s="3">
        <v>45583</v>
      </c>
      <c r="B787" s="4">
        <v>24854.05</v>
      </c>
      <c r="C787" s="7">
        <v>785</v>
      </c>
      <c r="D787" s="5">
        <f t="shared" si="12"/>
        <v>4.2012887401181526E-3</v>
      </c>
    </row>
    <row r="788" spans="1:4" x14ac:dyDescent="0.3">
      <c r="A788" s="3">
        <v>45586</v>
      </c>
      <c r="B788" s="4">
        <v>24781.1</v>
      </c>
      <c r="C788" s="7">
        <v>786</v>
      </c>
      <c r="D788" s="5">
        <f t="shared" si="12"/>
        <v>-2.9394512770190822E-3</v>
      </c>
    </row>
    <row r="789" spans="1:4" x14ac:dyDescent="0.3">
      <c r="A789" s="3">
        <v>45587</v>
      </c>
      <c r="B789" s="4">
        <v>24472.1</v>
      </c>
      <c r="C789" s="7">
        <v>787</v>
      </c>
      <c r="D789" s="5">
        <f t="shared" si="12"/>
        <v>-1.2547572710405439E-2</v>
      </c>
    </row>
    <row r="790" spans="1:4" x14ac:dyDescent="0.3">
      <c r="A790" s="3">
        <v>45588</v>
      </c>
      <c r="B790" s="4">
        <v>24435.5</v>
      </c>
      <c r="C790" s="7">
        <v>788</v>
      </c>
      <c r="D790" s="5">
        <f t="shared" si="12"/>
        <v>-1.4967001787999864E-3</v>
      </c>
    </row>
    <row r="791" spans="1:4" x14ac:dyDescent="0.3">
      <c r="A791" s="3">
        <v>45589</v>
      </c>
      <c r="B791" s="4">
        <v>24399.4</v>
      </c>
      <c r="C791" s="7">
        <v>789</v>
      </c>
      <c r="D791" s="5">
        <f t="shared" si="12"/>
        <v>-1.4784511312879243E-3</v>
      </c>
    </row>
    <row r="792" spans="1:4" x14ac:dyDescent="0.3">
      <c r="A792" s="3">
        <v>45590</v>
      </c>
      <c r="B792" s="4">
        <v>24180.799999999999</v>
      </c>
      <c r="C792" s="7">
        <v>790</v>
      </c>
      <c r="D792" s="5">
        <f t="shared" si="12"/>
        <v>-8.999611999159645E-3</v>
      </c>
    </row>
    <row r="793" spans="1:4" x14ac:dyDescent="0.3">
      <c r="A793" s="3">
        <v>45593</v>
      </c>
      <c r="B793" s="4">
        <v>24339.15</v>
      </c>
      <c r="C793" s="7">
        <v>791</v>
      </c>
      <c r="D793" s="5">
        <f t="shared" si="12"/>
        <v>6.5272351766822402E-3</v>
      </c>
    </row>
    <row r="794" spans="1:4" x14ac:dyDescent="0.3">
      <c r="A794" s="3">
        <v>45594</v>
      </c>
      <c r="B794" s="4">
        <v>24466.85</v>
      </c>
      <c r="C794" s="7">
        <v>792</v>
      </c>
      <c r="D794" s="5">
        <f t="shared" si="12"/>
        <v>5.2329751018960107E-3</v>
      </c>
    </row>
    <row r="795" spans="1:4" x14ac:dyDescent="0.3">
      <c r="A795" s="3">
        <v>45595</v>
      </c>
      <c r="B795" s="4">
        <v>24340.85</v>
      </c>
      <c r="C795" s="7">
        <v>793</v>
      </c>
      <c r="D795" s="5">
        <f t="shared" si="12"/>
        <v>-5.1631312234782087E-3</v>
      </c>
    </row>
    <row r="796" spans="1:4" x14ac:dyDescent="0.3">
      <c r="A796" s="3">
        <v>45596</v>
      </c>
      <c r="B796" s="4">
        <v>24205.35</v>
      </c>
      <c r="C796" s="7">
        <v>794</v>
      </c>
      <c r="D796" s="5">
        <f t="shared" si="12"/>
        <v>-5.582325779352925E-3</v>
      </c>
    </row>
    <row r="797" spans="1:4" x14ac:dyDescent="0.3">
      <c r="A797" s="3">
        <v>45597</v>
      </c>
      <c r="B797" s="4">
        <v>24304.35</v>
      </c>
      <c r="C797" s="7">
        <v>795</v>
      </c>
      <c r="D797" s="5">
        <f t="shared" si="12"/>
        <v>4.0816635619174632E-3</v>
      </c>
    </row>
    <row r="798" spans="1:4" x14ac:dyDescent="0.3">
      <c r="A798" s="3">
        <v>45600</v>
      </c>
      <c r="B798" s="4">
        <v>23995.35</v>
      </c>
      <c r="C798" s="7">
        <v>796</v>
      </c>
      <c r="D798" s="5">
        <f t="shared" si="12"/>
        <v>-1.2795285095394087E-2</v>
      </c>
    </row>
    <row r="799" spans="1:4" x14ac:dyDescent="0.3">
      <c r="A799" s="3">
        <v>45601</v>
      </c>
      <c r="B799" s="4">
        <v>24213.3</v>
      </c>
      <c r="C799" s="7">
        <v>797</v>
      </c>
      <c r="D799" s="5">
        <f t="shared" si="12"/>
        <v>9.0420073960085362E-3</v>
      </c>
    </row>
    <row r="800" spans="1:4" x14ac:dyDescent="0.3">
      <c r="A800" s="3">
        <v>45602</v>
      </c>
      <c r="B800" s="4">
        <v>24484.05</v>
      </c>
      <c r="C800" s="7">
        <v>798</v>
      </c>
      <c r="D800" s="5">
        <f t="shared" si="12"/>
        <v>1.111981616471547E-2</v>
      </c>
    </row>
    <row r="801" spans="1:4" x14ac:dyDescent="0.3">
      <c r="A801" s="3">
        <v>45603</v>
      </c>
      <c r="B801" s="4">
        <v>24199.35</v>
      </c>
      <c r="C801" s="7">
        <v>799</v>
      </c>
      <c r="D801" s="5">
        <f t="shared" si="12"/>
        <v>-1.1696111838928169E-2</v>
      </c>
    </row>
    <row r="802" spans="1:4" x14ac:dyDescent="0.3">
      <c r="A802" s="3">
        <v>45604</v>
      </c>
      <c r="B802" s="4">
        <v>24148.2</v>
      </c>
      <c r="C802" s="7">
        <v>800</v>
      </c>
      <c r="D802" s="5">
        <f t="shared" si="12"/>
        <v>-2.115930138503043E-3</v>
      </c>
    </row>
    <row r="803" spans="1:4" x14ac:dyDescent="0.3">
      <c r="A803" s="3">
        <v>45607</v>
      </c>
      <c r="B803" s="4">
        <v>24141.3</v>
      </c>
      <c r="C803" s="7">
        <v>801</v>
      </c>
      <c r="D803" s="5">
        <f t="shared" si="12"/>
        <v>-2.8577641296602358E-4</v>
      </c>
    </row>
    <row r="804" spans="1:4" x14ac:dyDescent="0.3">
      <c r="A804" s="3">
        <v>45608</v>
      </c>
      <c r="B804" s="4">
        <v>23883.45</v>
      </c>
      <c r="C804" s="7">
        <v>802</v>
      </c>
      <c r="D804" s="5">
        <f t="shared" si="12"/>
        <v>-1.0738316295232621E-2</v>
      </c>
    </row>
    <row r="805" spans="1:4" x14ac:dyDescent="0.3">
      <c r="A805" s="3">
        <v>45609</v>
      </c>
      <c r="B805" s="4">
        <v>23559.05</v>
      </c>
      <c r="C805" s="7">
        <v>803</v>
      </c>
      <c r="D805" s="5">
        <f t="shared" si="12"/>
        <v>-1.367571506132014E-2</v>
      </c>
    </row>
    <row r="806" spans="1:4" x14ac:dyDescent="0.3">
      <c r="A806" s="3">
        <v>45610</v>
      </c>
      <c r="B806" s="4">
        <v>23532.7</v>
      </c>
      <c r="C806" s="7">
        <v>804</v>
      </c>
      <c r="D806" s="5">
        <f t="shared" si="12"/>
        <v>-1.1190921021192711E-3</v>
      </c>
    </row>
    <row r="807" spans="1:4" x14ac:dyDescent="0.3">
      <c r="A807" s="3">
        <v>45614</v>
      </c>
      <c r="B807" s="4">
        <v>23453.8</v>
      </c>
      <c r="C807" s="7">
        <v>805</v>
      </c>
      <c r="D807" s="5">
        <f t="shared" si="12"/>
        <v>-3.3584146152224673E-3</v>
      </c>
    </row>
    <row r="808" spans="1:4" x14ac:dyDescent="0.3">
      <c r="A808" s="3">
        <v>45615</v>
      </c>
      <c r="B808" s="4">
        <v>23518.5</v>
      </c>
      <c r="C808" s="7">
        <v>806</v>
      </c>
      <c r="D808" s="5">
        <f t="shared" si="12"/>
        <v>2.7548168140559032E-3</v>
      </c>
    </row>
    <row r="809" spans="1:4" x14ac:dyDescent="0.3">
      <c r="A809" s="3">
        <v>45617</v>
      </c>
      <c r="B809" s="4">
        <v>23349.9</v>
      </c>
      <c r="C809" s="7">
        <v>807</v>
      </c>
      <c r="D809" s="5">
        <f t="shared" si="12"/>
        <v>-7.1946440359882038E-3</v>
      </c>
    </row>
    <row r="810" spans="1:4" x14ac:dyDescent="0.3">
      <c r="A810" s="3">
        <v>45618</v>
      </c>
      <c r="B810" s="4">
        <v>23907.25</v>
      </c>
      <c r="C810" s="7">
        <v>808</v>
      </c>
      <c r="D810" s="5">
        <f t="shared" si="12"/>
        <v>2.3589058766826355E-2</v>
      </c>
    </row>
    <row r="811" spans="1:4" x14ac:dyDescent="0.3">
      <c r="A811" s="3">
        <v>45621</v>
      </c>
      <c r="B811" s="4">
        <v>24221.9</v>
      </c>
      <c r="C811" s="7">
        <v>809</v>
      </c>
      <c r="D811" s="5">
        <f t="shared" si="12"/>
        <v>1.307542239477766E-2</v>
      </c>
    </row>
    <row r="812" spans="1:4" x14ac:dyDescent="0.3">
      <c r="A812" s="3">
        <v>45622</v>
      </c>
      <c r="B812" s="4">
        <v>24194.5</v>
      </c>
      <c r="C812" s="7">
        <v>810</v>
      </c>
      <c r="D812" s="5">
        <f t="shared" si="12"/>
        <v>-1.1318480070857482E-3</v>
      </c>
    </row>
    <row r="813" spans="1:4" x14ac:dyDescent="0.3">
      <c r="A813" s="3">
        <v>45623</v>
      </c>
      <c r="B813" s="4">
        <v>24274.9</v>
      </c>
      <c r="C813" s="7">
        <v>811</v>
      </c>
      <c r="D813" s="5">
        <f t="shared" si="12"/>
        <v>3.3175600994260466E-3</v>
      </c>
    </row>
    <row r="814" spans="1:4" x14ac:dyDescent="0.3">
      <c r="A814" s="3">
        <v>45624</v>
      </c>
      <c r="B814" s="4">
        <v>23914.15</v>
      </c>
      <c r="C814" s="7">
        <v>812</v>
      </c>
      <c r="D814" s="5">
        <f t="shared" si="12"/>
        <v>-1.4972560750343969E-2</v>
      </c>
    </row>
    <row r="815" spans="1:4" x14ac:dyDescent="0.3">
      <c r="A815" s="3">
        <v>45625</v>
      </c>
      <c r="B815" s="4">
        <v>24131.1</v>
      </c>
      <c r="C815" s="7">
        <v>813</v>
      </c>
      <c r="D815" s="5">
        <f t="shared" si="12"/>
        <v>9.0311310507838367E-3</v>
      </c>
    </row>
    <row r="816" spans="1:4" x14ac:dyDescent="0.3">
      <c r="A816" s="3">
        <v>45628</v>
      </c>
      <c r="B816" s="4">
        <v>24276.05</v>
      </c>
      <c r="C816" s="7">
        <v>814</v>
      </c>
      <c r="D816" s="5">
        <f t="shared" si="12"/>
        <v>5.988802614002176E-3</v>
      </c>
    </row>
    <row r="817" spans="1:4" x14ac:dyDescent="0.3">
      <c r="A817" s="3">
        <v>45629</v>
      </c>
      <c r="B817" s="4">
        <v>24457.15</v>
      </c>
      <c r="C817" s="7">
        <v>815</v>
      </c>
      <c r="D817" s="5">
        <f t="shared" si="12"/>
        <v>7.4323390894845123E-3</v>
      </c>
    </row>
    <row r="818" spans="1:4" x14ac:dyDescent="0.3">
      <c r="A818" s="3">
        <v>45630</v>
      </c>
      <c r="B818" s="4">
        <v>24467.45</v>
      </c>
      <c r="C818" s="7">
        <v>816</v>
      </c>
      <c r="D818" s="5">
        <f t="shared" si="12"/>
        <v>4.2105608026115151E-4</v>
      </c>
    </row>
    <row r="819" spans="1:4" x14ac:dyDescent="0.3">
      <c r="A819" s="3">
        <v>45631</v>
      </c>
      <c r="B819" s="4">
        <v>24708.400000000001</v>
      </c>
      <c r="C819" s="7">
        <v>817</v>
      </c>
      <c r="D819" s="5">
        <f t="shared" si="12"/>
        <v>9.7996040025433873E-3</v>
      </c>
    </row>
    <row r="820" spans="1:4" x14ac:dyDescent="0.3">
      <c r="A820" s="3">
        <v>45632</v>
      </c>
      <c r="B820" s="4">
        <v>24677.8</v>
      </c>
      <c r="C820" s="7">
        <v>818</v>
      </c>
      <c r="D820" s="5">
        <f t="shared" si="12"/>
        <v>-1.2392127321359235E-3</v>
      </c>
    </row>
    <row r="821" spans="1:4" x14ac:dyDescent="0.3">
      <c r="A821" s="3">
        <v>45635</v>
      </c>
      <c r="B821" s="4">
        <v>24619</v>
      </c>
      <c r="C821" s="7">
        <v>819</v>
      </c>
      <c r="D821" s="5">
        <f t="shared" si="12"/>
        <v>-2.3855515118706054E-3</v>
      </c>
    </row>
    <row r="822" spans="1:4" x14ac:dyDescent="0.3">
      <c r="A822" s="3">
        <v>45636</v>
      </c>
      <c r="B822" s="4">
        <v>24610.05</v>
      </c>
      <c r="C822" s="7">
        <v>820</v>
      </c>
      <c r="D822" s="5">
        <f t="shared" si="12"/>
        <v>-3.6360645182499104E-4</v>
      </c>
    </row>
    <row r="823" spans="1:4" x14ac:dyDescent="0.3">
      <c r="A823" s="3">
        <v>45637</v>
      </c>
      <c r="B823" s="4">
        <v>24641.8</v>
      </c>
      <c r="C823" s="7">
        <v>821</v>
      </c>
      <c r="D823" s="5">
        <f t="shared" si="12"/>
        <v>1.2892918498735822E-3</v>
      </c>
    </row>
    <row r="824" spans="1:4" x14ac:dyDescent="0.3">
      <c r="A824" s="3">
        <v>45638</v>
      </c>
      <c r="B824" s="4">
        <v>24548.7</v>
      </c>
      <c r="C824" s="7">
        <v>822</v>
      </c>
      <c r="D824" s="5">
        <f t="shared" si="12"/>
        <v>-3.7852882635684751E-3</v>
      </c>
    </row>
    <row r="825" spans="1:4" x14ac:dyDescent="0.3">
      <c r="A825" s="3">
        <v>45639</v>
      </c>
      <c r="B825" s="4">
        <v>24768.3</v>
      </c>
      <c r="C825" s="7">
        <v>823</v>
      </c>
      <c r="D825" s="5">
        <f t="shared" si="12"/>
        <v>8.9057100554239786E-3</v>
      </c>
    </row>
    <row r="826" spans="1:4" x14ac:dyDescent="0.3">
      <c r="A826" s="3">
        <v>45642</v>
      </c>
      <c r="B826" s="4">
        <v>24668.25</v>
      </c>
      <c r="C826" s="7">
        <v>824</v>
      </c>
      <c r="D826" s="5">
        <f t="shared" si="12"/>
        <v>-4.0476180718514044E-3</v>
      </c>
    </row>
    <row r="827" spans="1:4" x14ac:dyDescent="0.3">
      <c r="A827" s="3">
        <v>45643</v>
      </c>
      <c r="B827" s="4">
        <v>24336</v>
      </c>
      <c r="C827" s="7">
        <v>825</v>
      </c>
      <c r="D827" s="5">
        <f t="shared" si="12"/>
        <v>-1.3560256148274351E-2</v>
      </c>
    </row>
    <row r="828" spans="1:4" x14ac:dyDescent="0.3">
      <c r="A828" s="3">
        <v>45644</v>
      </c>
      <c r="B828" s="4">
        <v>24198.85</v>
      </c>
      <c r="C828" s="7">
        <v>826</v>
      </c>
      <c r="D828" s="5">
        <f t="shared" si="12"/>
        <v>-5.6516241445957781E-3</v>
      </c>
    </row>
    <row r="829" spans="1:4" x14ac:dyDescent="0.3">
      <c r="A829" s="3">
        <v>45645</v>
      </c>
      <c r="B829" s="4">
        <v>23951.7</v>
      </c>
      <c r="C829" s="7">
        <v>827</v>
      </c>
      <c r="D829" s="5">
        <f t="shared" si="12"/>
        <v>-1.0265808823608006E-2</v>
      </c>
    </row>
    <row r="830" spans="1:4" x14ac:dyDescent="0.3">
      <c r="A830" s="3">
        <v>45646</v>
      </c>
      <c r="B830" s="4">
        <v>23587.5</v>
      </c>
      <c r="C830" s="7">
        <v>828</v>
      </c>
      <c r="D830" s="5">
        <f t="shared" si="12"/>
        <v>-1.5322391854064712E-2</v>
      </c>
    </row>
    <row r="831" spans="1:4" x14ac:dyDescent="0.3">
      <c r="A831" s="3">
        <v>45649</v>
      </c>
      <c r="B831" s="4">
        <v>23753.45</v>
      </c>
      <c r="C831" s="7">
        <v>829</v>
      </c>
      <c r="D831" s="5">
        <f t="shared" si="12"/>
        <v>7.0108723942055237E-3</v>
      </c>
    </row>
    <row r="832" spans="1:4" x14ac:dyDescent="0.3">
      <c r="A832" s="3">
        <v>45650</v>
      </c>
      <c r="B832" s="4">
        <v>23727.65</v>
      </c>
      <c r="C832" s="7">
        <v>830</v>
      </c>
      <c r="D832" s="5">
        <f t="shared" si="12"/>
        <v>-1.0867483078192092E-3</v>
      </c>
    </row>
    <row r="833" spans="1:4" x14ac:dyDescent="0.3">
      <c r="A833" s="3">
        <v>45652</v>
      </c>
      <c r="B833" s="4">
        <v>23750.2</v>
      </c>
      <c r="C833" s="7">
        <v>831</v>
      </c>
      <c r="D833" s="5">
        <f t="shared" si="12"/>
        <v>9.4991671677012402E-4</v>
      </c>
    </row>
    <row r="834" spans="1:4" x14ac:dyDescent="0.3">
      <c r="A834" s="3">
        <v>45653</v>
      </c>
      <c r="B834" s="4">
        <v>23813.4</v>
      </c>
      <c r="C834" s="7">
        <v>832</v>
      </c>
      <c r="D834" s="5">
        <f t="shared" si="12"/>
        <v>2.6574959504618452E-3</v>
      </c>
    </row>
    <row r="835" spans="1:4" x14ac:dyDescent="0.3">
      <c r="A835" s="3">
        <v>45656</v>
      </c>
      <c r="B835" s="4">
        <v>23644.9</v>
      </c>
      <c r="C835" s="7">
        <v>833</v>
      </c>
      <c r="D835" s="5">
        <f t="shared" ref="D835:D898" si="13">LN(B835/B834)</f>
        <v>-7.1010005853283714E-3</v>
      </c>
    </row>
    <row r="836" spans="1:4" x14ac:dyDescent="0.3">
      <c r="A836" s="3">
        <v>45657</v>
      </c>
      <c r="B836" s="4">
        <v>23644.799999999999</v>
      </c>
      <c r="C836" s="7">
        <v>834</v>
      </c>
      <c r="D836" s="5">
        <f t="shared" si="13"/>
        <v>-4.229250767129392E-6</v>
      </c>
    </row>
    <row r="837" spans="1:4" x14ac:dyDescent="0.3">
      <c r="A837" s="3">
        <v>45658</v>
      </c>
      <c r="B837" s="4">
        <v>23742.9</v>
      </c>
      <c r="C837" s="7">
        <v>835</v>
      </c>
      <c r="D837" s="5">
        <f t="shared" si="13"/>
        <v>4.1403208063656048E-3</v>
      </c>
    </row>
    <row r="838" spans="1:4" x14ac:dyDescent="0.3">
      <c r="A838" s="3">
        <v>45659</v>
      </c>
      <c r="B838" s="4">
        <v>24188.65</v>
      </c>
      <c r="C838" s="7">
        <v>836</v>
      </c>
      <c r="D838" s="5">
        <f t="shared" si="13"/>
        <v>1.8599976460843735E-2</v>
      </c>
    </row>
    <row r="839" spans="1:4" x14ac:dyDescent="0.3">
      <c r="A839" s="3">
        <v>45660</v>
      </c>
      <c r="B839" s="4">
        <v>24004.75</v>
      </c>
      <c r="C839" s="7">
        <v>837</v>
      </c>
      <c r="D839" s="5">
        <f t="shared" si="13"/>
        <v>-7.6317874477081537E-3</v>
      </c>
    </row>
    <row r="840" spans="1:4" x14ac:dyDescent="0.3">
      <c r="A840" s="3">
        <v>45663</v>
      </c>
      <c r="B840" s="4">
        <v>23616.05</v>
      </c>
      <c r="C840" s="7">
        <v>838</v>
      </c>
      <c r="D840" s="5">
        <f t="shared" si="13"/>
        <v>-1.6325161807199819E-2</v>
      </c>
    </row>
    <row r="841" spans="1:4" x14ac:dyDescent="0.3">
      <c r="A841" s="3">
        <v>45664</v>
      </c>
      <c r="B841" s="4">
        <v>23707.9</v>
      </c>
      <c r="C841" s="7">
        <v>839</v>
      </c>
      <c r="D841" s="5">
        <f t="shared" si="13"/>
        <v>3.8817603067130878E-3</v>
      </c>
    </row>
    <row r="842" spans="1:4" x14ac:dyDescent="0.3">
      <c r="A842" s="3">
        <v>45665</v>
      </c>
      <c r="B842" s="4">
        <v>23688.95</v>
      </c>
      <c r="C842" s="7">
        <v>840</v>
      </c>
      <c r="D842" s="5">
        <f t="shared" si="13"/>
        <v>-7.9963124172743882E-4</v>
      </c>
    </row>
    <row r="843" spans="1:4" x14ac:dyDescent="0.3">
      <c r="A843" s="3">
        <v>45666</v>
      </c>
      <c r="B843" s="4">
        <v>23526.5</v>
      </c>
      <c r="C843" s="7">
        <v>841</v>
      </c>
      <c r="D843" s="5">
        <f t="shared" si="13"/>
        <v>-6.8812492953755225E-3</v>
      </c>
    </row>
    <row r="844" spans="1:4" x14ac:dyDescent="0.3">
      <c r="A844" s="3">
        <v>45667</v>
      </c>
      <c r="B844" s="4">
        <v>23431.5</v>
      </c>
      <c r="C844" s="7">
        <v>842</v>
      </c>
      <c r="D844" s="5">
        <f t="shared" si="13"/>
        <v>-4.0461744370668276E-3</v>
      </c>
    </row>
    <row r="845" spans="1:4" x14ac:dyDescent="0.3">
      <c r="A845" s="3">
        <v>45670</v>
      </c>
      <c r="B845" s="4">
        <v>23085.95</v>
      </c>
      <c r="C845" s="7">
        <v>843</v>
      </c>
      <c r="D845" s="5">
        <f t="shared" si="13"/>
        <v>-1.4857063581440453E-2</v>
      </c>
    </row>
    <row r="846" spans="1:4" x14ac:dyDescent="0.3">
      <c r="A846" s="3">
        <v>45671</v>
      </c>
      <c r="B846" s="4">
        <v>23176.05</v>
      </c>
      <c r="C846" s="7">
        <v>844</v>
      </c>
      <c r="D846" s="5">
        <f t="shared" si="13"/>
        <v>3.8952104933376291E-3</v>
      </c>
    </row>
    <row r="847" spans="1:4" x14ac:dyDescent="0.3">
      <c r="A847" s="3">
        <v>45672</v>
      </c>
      <c r="B847" s="4">
        <v>23213.200000000001</v>
      </c>
      <c r="C847" s="7">
        <v>845</v>
      </c>
      <c r="D847" s="5">
        <f t="shared" si="13"/>
        <v>1.6016645210618786E-3</v>
      </c>
    </row>
    <row r="848" spans="1:4" x14ac:dyDescent="0.3">
      <c r="A848" s="3">
        <v>45673</v>
      </c>
      <c r="B848" s="4">
        <v>23311.8</v>
      </c>
      <c r="C848" s="7">
        <v>846</v>
      </c>
      <c r="D848" s="5">
        <f t="shared" si="13"/>
        <v>4.2385877535739327E-3</v>
      </c>
    </row>
    <row r="849" spans="1:4" x14ac:dyDescent="0.3">
      <c r="A849" s="3">
        <v>45674</v>
      </c>
      <c r="B849" s="4">
        <v>23203.200000000001</v>
      </c>
      <c r="C849" s="7">
        <v>847</v>
      </c>
      <c r="D849" s="5">
        <f t="shared" si="13"/>
        <v>-4.6694699484325849E-3</v>
      </c>
    </row>
    <row r="850" spans="1:4" x14ac:dyDescent="0.3">
      <c r="A850" s="3">
        <v>45677</v>
      </c>
      <c r="B850" s="4">
        <v>23344.75</v>
      </c>
      <c r="C850" s="7">
        <v>848</v>
      </c>
      <c r="D850" s="5">
        <f t="shared" si="13"/>
        <v>6.0819192391741118E-3</v>
      </c>
    </row>
    <row r="851" spans="1:4" x14ac:dyDescent="0.3">
      <c r="A851" s="3">
        <v>45678</v>
      </c>
      <c r="B851" s="4">
        <v>23024.65</v>
      </c>
      <c r="C851" s="7">
        <v>849</v>
      </c>
      <c r="D851" s="5">
        <f t="shared" si="13"/>
        <v>-1.3806738277095545E-2</v>
      </c>
    </row>
    <row r="852" spans="1:4" x14ac:dyDescent="0.3">
      <c r="A852" s="3">
        <v>45679</v>
      </c>
      <c r="B852" s="4">
        <v>23155.35</v>
      </c>
      <c r="C852" s="7">
        <v>850</v>
      </c>
      <c r="D852" s="5">
        <f t="shared" si="13"/>
        <v>5.6604741870661156E-3</v>
      </c>
    </row>
    <row r="853" spans="1:4" x14ac:dyDescent="0.3">
      <c r="A853" s="3">
        <v>45680</v>
      </c>
      <c r="B853" s="4">
        <v>23205.35</v>
      </c>
      <c r="C853" s="7">
        <v>851</v>
      </c>
      <c r="D853" s="5">
        <f t="shared" si="13"/>
        <v>2.1570001913706685E-3</v>
      </c>
    </row>
    <row r="854" spans="1:4" x14ac:dyDescent="0.3">
      <c r="A854" s="3">
        <v>45681</v>
      </c>
      <c r="B854" s="4">
        <v>23092.2</v>
      </c>
      <c r="C854" s="7">
        <v>852</v>
      </c>
      <c r="D854" s="5">
        <f t="shared" si="13"/>
        <v>-4.8879573663295961E-3</v>
      </c>
    </row>
    <row r="855" spans="1:4" x14ac:dyDescent="0.3">
      <c r="A855" s="3">
        <v>45684</v>
      </c>
      <c r="B855" s="4">
        <v>22829.15</v>
      </c>
      <c r="C855" s="7">
        <v>853</v>
      </c>
      <c r="D855" s="5">
        <f t="shared" si="13"/>
        <v>-1.1456670033394137E-2</v>
      </c>
    </row>
    <row r="856" spans="1:4" x14ac:dyDescent="0.3">
      <c r="A856" s="3">
        <v>45685</v>
      </c>
      <c r="B856" s="4">
        <v>22957.25</v>
      </c>
      <c r="C856" s="7">
        <v>854</v>
      </c>
      <c r="D856" s="5">
        <f t="shared" si="13"/>
        <v>5.5955626228530505E-3</v>
      </c>
    </row>
    <row r="857" spans="1:4" x14ac:dyDescent="0.3">
      <c r="A857" s="3">
        <v>45686</v>
      </c>
      <c r="B857" s="4">
        <v>23163.1</v>
      </c>
      <c r="C857" s="7">
        <v>855</v>
      </c>
      <c r="D857" s="5">
        <f t="shared" si="13"/>
        <v>8.9267044567532539E-3</v>
      </c>
    </row>
    <row r="858" spans="1:4" x14ac:dyDescent="0.3">
      <c r="A858" s="3">
        <v>45687</v>
      </c>
      <c r="B858" s="4">
        <v>23249.5</v>
      </c>
      <c r="C858" s="7">
        <v>856</v>
      </c>
      <c r="D858" s="5">
        <f t="shared" si="13"/>
        <v>3.7231312102430775E-3</v>
      </c>
    </row>
    <row r="859" spans="1:4" x14ac:dyDescent="0.3">
      <c r="A859" s="3">
        <v>45688</v>
      </c>
      <c r="B859" s="4">
        <v>23508.400000000001</v>
      </c>
      <c r="C859" s="7">
        <v>857</v>
      </c>
      <c r="D859" s="5">
        <f t="shared" si="13"/>
        <v>1.1074177663955638E-2</v>
      </c>
    </row>
    <row r="860" spans="1:4" x14ac:dyDescent="0.3">
      <c r="A860" s="3">
        <v>45689</v>
      </c>
      <c r="B860" s="4">
        <v>23482.15</v>
      </c>
      <c r="C860" s="7">
        <v>858</v>
      </c>
      <c r="D860" s="5">
        <f t="shared" si="13"/>
        <v>-1.1172460305538994E-3</v>
      </c>
    </row>
    <row r="861" spans="1:4" x14ac:dyDescent="0.3">
      <c r="A861" s="3">
        <v>45691</v>
      </c>
      <c r="B861" s="4">
        <v>23361.05</v>
      </c>
      <c r="C861" s="7">
        <v>859</v>
      </c>
      <c r="D861" s="5">
        <f t="shared" si="13"/>
        <v>-5.1704524791751734E-3</v>
      </c>
    </row>
    <row r="862" spans="1:4" x14ac:dyDescent="0.3">
      <c r="A862" s="3">
        <v>45692</v>
      </c>
      <c r="B862" s="4">
        <v>23739.25</v>
      </c>
      <c r="C862" s="7">
        <v>860</v>
      </c>
      <c r="D862" s="5">
        <f t="shared" si="13"/>
        <v>1.6059690853104273E-2</v>
      </c>
    </row>
    <row r="863" spans="1:4" x14ac:dyDescent="0.3">
      <c r="A863" s="3">
        <v>45693</v>
      </c>
      <c r="B863" s="4">
        <v>23696.3</v>
      </c>
      <c r="C863" s="7">
        <v>861</v>
      </c>
      <c r="D863" s="5">
        <f t="shared" si="13"/>
        <v>-1.8108786231885072E-3</v>
      </c>
    </row>
    <row r="864" spans="1:4" x14ac:dyDescent="0.3">
      <c r="A864" s="3">
        <v>45694</v>
      </c>
      <c r="B864" s="4">
        <v>23603.35</v>
      </c>
      <c r="C864" s="7">
        <v>862</v>
      </c>
      <c r="D864" s="5">
        <f t="shared" si="13"/>
        <v>-3.9302666996406553E-3</v>
      </c>
    </row>
    <row r="865" spans="1:4" x14ac:dyDescent="0.3">
      <c r="A865" s="3">
        <v>45695</v>
      </c>
      <c r="B865" s="4">
        <v>23559.95</v>
      </c>
      <c r="C865" s="7">
        <v>863</v>
      </c>
      <c r="D865" s="5">
        <f t="shared" si="13"/>
        <v>-1.8404145702315485E-3</v>
      </c>
    </row>
    <row r="866" spans="1:4" x14ac:dyDescent="0.3">
      <c r="A866" s="3">
        <v>45698</v>
      </c>
      <c r="B866" s="4">
        <v>23381.599999999999</v>
      </c>
      <c r="C866" s="7">
        <v>864</v>
      </c>
      <c r="D866" s="5">
        <f t="shared" si="13"/>
        <v>-7.598848278210316E-3</v>
      </c>
    </row>
    <row r="867" spans="1:4" x14ac:dyDescent="0.3">
      <c r="A867" s="3">
        <v>45699</v>
      </c>
      <c r="B867" s="4">
        <v>23071.8</v>
      </c>
      <c r="C867" s="7">
        <v>865</v>
      </c>
      <c r="D867" s="5">
        <f t="shared" si="13"/>
        <v>-1.3338295712820561E-2</v>
      </c>
    </row>
    <row r="868" spans="1:4" x14ac:dyDescent="0.3">
      <c r="A868" s="3">
        <v>45700</v>
      </c>
      <c r="B868" s="4">
        <v>23045.25</v>
      </c>
      <c r="C868" s="7">
        <v>866</v>
      </c>
      <c r="D868" s="5">
        <f t="shared" si="13"/>
        <v>-1.1514180951839536E-3</v>
      </c>
    </row>
    <row r="869" spans="1:4" x14ac:dyDescent="0.3">
      <c r="A869" s="3">
        <v>45701</v>
      </c>
      <c r="B869" s="4">
        <v>23031.4</v>
      </c>
      <c r="C869" s="7">
        <v>867</v>
      </c>
      <c r="D869" s="5">
        <f t="shared" si="13"/>
        <v>-6.0117219533637628E-4</v>
      </c>
    </row>
    <row r="870" spans="1:4" x14ac:dyDescent="0.3">
      <c r="A870" s="3">
        <v>45702</v>
      </c>
      <c r="B870" s="4">
        <v>22929.25</v>
      </c>
      <c r="C870" s="7">
        <v>868</v>
      </c>
      <c r="D870" s="5">
        <f t="shared" si="13"/>
        <v>-4.4451141660866375E-3</v>
      </c>
    </row>
    <row r="871" spans="1:4" x14ac:dyDescent="0.3">
      <c r="A871" s="3">
        <v>45705</v>
      </c>
      <c r="B871" s="4">
        <v>22959.5</v>
      </c>
      <c r="C871" s="7">
        <v>869</v>
      </c>
      <c r="D871" s="5">
        <f t="shared" si="13"/>
        <v>1.318406118349223E-3</v>
      </c>
    </row>
    <row r="872" spans="1:4" x14ac:dyDescent="0.3">
      <c r="A872" s="3">
        <v>45706</v>
      </c>
      <c r="B872" s="4">
        <v>22945.3</v>
      </c>
      <c r="C872" s="7">
        <v>870</v>
      </c>
      <c r="D872" s="5">
        <f t="shared" si="13"/>
        <v>-6.1867170548291742E-4</v>
      </c>
    </row>
    <row r="873" spans="1:4" x14ac:dyDescent="0.3">
      <c r="A873" s="3">
        <v>45707</v>
      </c>
      <c r="B873" s="4">
        <v>22932.9</v>
      </c>
      <c r="C873" s="7">
        <v>871</v>
      </c>
      <c r="D873" s="5">
        <f t="shared" si="13"/>
        <v>-5.4056176144420191E-4</v>
      </c>
    </row>
    <row r="874" spans="1:4" x14ac:dyDescent="0.3">
      <c r="A874" s="3">
        <v>45708</v>
      </c>
      <c r="B874" s="4">
        <v>22913.15</v>
      </c>
      <c r="C874" s="7">
        <v>872</v>
      </c>
      <c r="D874" s="5">
        <f t="shared" si="13"/>
        <v>-8.615791860687675E-4</v>
      </c>
    </row>
    <row r="875" spans="1:4" x14ac:dyDescent="0.3">
      <c r="A875" s="3">
        <v>45709</v>
      </c>
      <c r="B875" s="4">
        <v>22795.9</v>
      </c>
      <c r="C875" s="7">
        <v>873</v>
      </c>
      <c r="D875" s="5">
        <f t="shared" si="13"/>
        <v>-5.1302863291465021E-3</v>
      </c>
    </row>
    <row r="876" spans="1:4" x14ac:dyDescent="0.3">
      <c r="A876" s="3">
        <v>45712</v>
      </c>
      <c r="B876" s="4">
        <v>22553.35</v>
      </c>
      <c r="C876" s="7">
        <v>874</v>
      </c>
      <c r="D876" s="5">
        <f t="shared" si="13"/>
        <v>-1.069708155537406E-2</v>
      </c>
    </row>
    <row r="877" spans="1:4" x14ac:dyDescent="0.3">
      <c r="A877" s="3">
        <v>45713</v>
      </c>
      <c r="B877" s="4">
        <v>22547.55</v>
      </c>
      <c r="C877" s="7">
        <v>875</v>
      </c>
      <c r="D877" s="5">
        <f t="shared" si="13"/>
        <v>-2.5720107722782741E-4</v>
      </c>
    </row>
    <row r="878" spans="1:4" x14ac:dyDescent="0.3">
      <c r="A878" s="3">
        <v>45715</v>
      </c>
      <c r="B878" s="4">
        <v>22545.05</v>
      </c>
      <c r="C878" s="7">
        <v>876</v>
      </c>
      <c r="D878" s="5">
        <f t="shared" si="13"/>
        <v>-1.108829387776427E-4</v>
      </c>
    </row>
    <row r="879" spans="1:4" x14ac:dyDescent="0.3">
      <c r="A879" s="3">
        <v>45716</v>
      </c>
      <c r="B879" s="4">
        <v>22124.7</v>
      </c>
      <c r="C879" s="7">
        <v>877</v>
      </c>
      <c r="D879" s="5">
        <f t="shared" si="13"/>
        <v>-1.8820898177206152E-2</v>
      </c>
    </row>
    <row r="880" spans="1:4" x14ac:dyDescent="0.3">
      <c r="A880" s="3">
        <v>45719</v>
      </c>
      <c r="B880" s="4">
        <v>22119.3</v>
      </c>
      <c r="C880" s="7">
        <v>878</v>
      </c>
      <c r="D880" s="5">
        <f t="shared" si="13"/>
        <v>-2.4410089624874701E-4</v>
      </c>
    </row>
    <row r="881" spans="1:4" x14ac:dyDescent="0.3">
      <c r="A881" s="3">
        <v>45720</v>
      </c>
      <c r="B881" s="4">
        <v>22082.65</v>
      </c>
      <c r="C881" s="7">
        <v>879</v>
      </c>
      <c r="D881" s="5">
        <f t="shared" si="13"/>
        <v>-1.6582982605433554E-3</v>
      </c>
    </row>
    <row r="882" spans="1:4" x14ac:dyDescent="0.3">
      <c r="A882" s="3">
        <v>45721</v>
      </c>
      <c r="B882" s="4">
        <v>22337.3</v>
      </c>
      <c r="C882" s="7">
        <v>880</v>
      </c>
      <c r="D882" s="5">
        <f t="shared" si="13"/>
        <v>1.1465694568782813E-2</v>
      </c>
    </row>
    <row r="883" spans="1:4" x14ac:dyDescent="0.3">
      <c r="A883" s="3">
        <v>45722</v>
      </c>
      <c r="B883" s="4">
        <v>22544.7</v>
      </c>
      <c r="C883" s="7">
        <v>881</v>
      </c>
      <c r="D883" s="5">
        <f t="shared" si="13"/>
        <v>9.2420781725971422E-3</v>
      </c>
    </row>
    <row r="884" spans="1:4" x14ac:dyDescent="0.3">
      <c r="A884" s="3">
        <v>45723</v>
      </c>
      <c r="B884" s="4">
        <v>22552.5</v>
      </c>
      <c r="C884" s="7">
        <v>882</v>
      </c>
      <c r="D884" s="5">
        <f t="shared" si="13"/>
        <v>3.4591948403792664E-4</v>
      </c>
    </row>
    <row r="885" spans="1:4" x14ac:dyDescent="0.3">
      <c r="A885" s="3">
        <v>45726</v>
      </c>
      <c r="B885" s="4">
        <v>22460.3</v>
      </c>
      <c r="C885" s="7">
        <v>883</v>
      </c>
      <c r="D885" s="5">
        <f t="shared" si="13"/>
        <v>-4.0966182483126905E-3</v>
      </c>
    </row>
    <row r="886" spans="1:4" x14ac:dyDescent="0.3">
      <c r="A886" s="3">
        <v>45727</v>
      </c>
      <c r="B886" s="4">
        <v>22497.9</v>
      </c>
      <c r="C886" s="7">
        <v>884</v>
      </c>
      <c r="D886" s="5">
        <f t="shared" si="13"/>
        <v>1.6726652208703832E-3</v>
      </c>
    </row>
    <row r="887" spans="1:4" x14ac:dyDescent="0.3">
      <c r="A887" s="3">
        <v>45728</v>
      </c>
      <c r="B887" s="4">
        <v>22470.5</v>
      </c>
      <c r="C887" s="7">
        <v>885</v>
      </c>
      <c r="D887" s="5">
        <f t="shared" si="13"/>
        <v>-1.2186336801356743E-3</v>
      </c>
    </row>
    <row r="888" spans="1:4" x14ac:dyDescent="0.3">
      <c r="A888" s="3">
        <v>45729</v>
      </c>
      <c r="B888" s="4">
        <v>22397.200000000001</v>
      </c>
      <c r="C888" s="7">
        <v>886</v>
      </c>
      <c r="D888" s="5">
        <f t="shared" si="13"/>
        <v>-3.2673867932358361E-3</v>
      </c>
    </row>
    <row r="889" spans="1:4" x14ac:dyDescent="0.3">
      <c r="A889" s="3">
        <v>45733</v>
      </c>
      <c r="B889" s="4">
        <v>22508.75</v>
      </c>
      <c r="C889" s="7">
        <v>887</v>
      </c>
      <c r="D889" s="5">
        <f t="shared" si="13"/>
        <v>4.9681714537350846E-3</v>
      </c>
    </row>
    <row r="890" spans="1:4" x14ac:dyDescent="0.3">
      <c r="A890" s="3">
        <v>45734</v>
      </c>
      <c r="B890" s="4">
        <v>22834.3</v>
      </c>
      <c r="C890" s="7">
        <v>888</v>
      </c>
      <c r="D890" s="5">
        <f t="shared" si="13"/>
        <v>1.4359668968781786E-2</v>
      </c>
    </row>
    <row r="891" spans="1:4" x14ac:dyDescent="0.3">
      <c r="A891" s="3">
        <v>45735</v>
      </c>
      <c r="B891" s="4">
        <v>22907.599999999999</v>
      </c>
      <c r="C891" s="7">
        <v>889</v>
      </c>
      <c r="D891" s="5">
        <f t="shared" si="13"/>
        <v>3.2049417598595076E-3</v>
      </c>
    </row>
    <row r="892" spans="1:4" x14ac:dyDescent="0.3">
      <c r="A892" s="3">
        <v>45736</v>
      </c>
      <c r="B892" s="4">
        <v>23190.65</v>
      </c>
      <c r="C892" s="7">
        <v>890</v>
      </c>
      <c r="D892" s="5">
        <f t="shared" si="13"/>
        <v>1.228044696739064E-2</v>
      </c>
    </row>
    <row r="893" spans="1:4" x14ac:dyDescent="0.3">
      <c r="A893" s="3">
        <v>45737</v>
      </c>
      <c r="B893" s="4">
        <v>23350.400000000001</v>
      </c>
      <c r="C893" s="7">
        <v>891</v>
      </c>
      <c r="D893" s="5">
        <f t="shared" si="13"/>
        <v>6.8649343915537933E-3</v>
      </c>
    </row>
    <row r="894" spans="1:4" x14ac:dyDescent="0.3">
      <c r="A894" s="3">
        <v>45740</v>
      </c>
      <c r="B894" s="4">
        <v>23658.35</v>
      </c>
      <c r="C894" s="7">
        <v>892</v>
      </c>
      <c r="D894" s="5">
        <f t="shared" si="13"/>
        <v>1.310200357491904E-2</v>
      </c>
    </row>
    <row r="895" spans="1:4" x14ac:dyDescent="0.3">
      <c r="A895" s="3">
        <v>45741</v>
      </c>
      <c r="B895" s="4">
        <v>23668.65</v>
      </c>
      <c r="C895" s="7">
        <v>893</v>
      </c>
      <c r="D895" s="5">
        <f t="shared" si="13"/>
        <v>4.3526951476421065E-4</v>
      </c>
    </row>
    <row r="896" spans="1:4" x14ac:dyDescent="0.3">
      <c r="A896" s="3">
        <v>45742</v>
      </c>
      <c r="B896" s="4">
        <v>23486.85</v>
      </c>
      <c r="C896" s="7">
        <v>894</v>
      </c>
      <c r="D896" s="5">
        <f t="shared" si="13"/>
        <v>-7.710697617041672E-3</v>
      </c>
    </row>
    <row r="897" spans="1:4" x14ac:dyDescent="0.3">
      <c r="A897" s="3">
        <v>45743</v>
      </c>
      <c r="B897" s="4">
        <v>23591.95</v>
      </c>
      <c r="C897" s="7">
        <v>895</v>
      </c>
      <c r="D897" s="5">
        <f t="shared" si="13"/>
        <v>4.4648620864278519E-3</v>
      </c>
    </row>
    <row r="898" spans="1:4" x14ac:dyDescent="0.3">
      <c r="A898" s="3">
        <v>45744</v>
      </c>
      <c r="B898" s="4">
        <v>23519.35</v>
      </c>
      <c r="C898" s="7">
        <v>896</v>
      </c>
      <c r="D898" s="5">
        <f t="shared" si="13"/>
        <v>-3.0820655541120134E-3</v>
      </c>
    </row>
    <row r="899" spans="1:4" x14ac:dyDescent="0.3">
      <c r="A899" s="3">
        <v>45748</v>
      </c>
      <c r="B899" s="4">
        <v>23165.7</v>
      </c>
      <c r="C899" s="7">
        <v>897</v>
      </c>
      <c r="D899" s="5">
        <f t="shared" ref="D899:D962" si="14">LN(B899/B898)</f>
        <v>-1.5150750180769317E-2</v>
      </c>
    </row>
    <row r="900" spans="1:4" x14ac:dyDescent="0.3">
      <c r="A900" s="3">
        <v>45749</v>
      </c>
      <c r="B900" s="4">
        <v>23332.35</v>
      </c>
      <c r="C900" s="7">
        <v>898</v>
      </c>
      <c r="D900" s="5">
        <f t="shared" si="14"/>
        <v>7.1680732227189349E-3</v>
      </c>
    </row>
    <row r="901" spans="1:4" x14ac:dyDescent="0.3">
      <c r="A901" s="3">
        <v>45750</v>
      </c>
      <c r="B901" s="4">
        <v>23250.1</v>
      </c>
      <c r="C901" s="7">
        <v>899</v>
      </c>
      <c r="D901" s="5">
        <f t="shared" si="14"/>
        <v>-3.5313765366867989E-3</v>
      </c>
    </row>
    <row r="902" spans="1:4" x14ac:dyDescent="0.3">
      <c r="A902" s="3">
        <v>45751</v>
      </c>
      <c r="B902" s="4">
        <v>22904.45</v>
      </c>
      <c r="C902" s="7">
        <v>900</v>
      </c>
      <c r="D902" s="5">
        <f t="shared" si="14"/>
        <v>-1.4978218273382259E-2</v>
      </c>
    </row>
    <row r="903" spans="1:4" x14ac:dyDescent="0.3">
      <c r="A903" s="3">
        <v>45754</v>
      </c>
      <c r="B903" s="4">
        <v>22161.599999999999</v>
      </c>
      <c r="C903" s="7">
        <v>901</v>
      </c>
      <c r="D903" s="5">
        <f t="shared" si="14"/>
        <v>-3.2970153387305259E-2</v>
      </c>
    </row>
    <row r="904" spans="1:4" x14ac:dyDescent="0.3">
      <c r="A904" s="3">
        <v>45755</v>
      </c>
      <c r="B904" s="4">
        <v>22535.85</v>
      </c>
      <c r="C904" s="7">
        <v>902</v>
      </c>
      <c r="D904" s="5">
        <f t="shared" si="14"/>
        <v>1.6746313096183522E-2</v>
      </c>
    </row>
    <row r="905" spans="1:4" x14ac:dyDescent="0.3">
      <c r="A905" s="3">
        <v>45756</v>
      </c>
      <c r="B905" s="4">
        <v>22399.15</v>
      </c>
      <c r="C905" s="7">
        <v>903</v>
      </c>
      <c r="D905" s="5">
        <f t="shared" si="14"/>
        <v>-6.0843628224417504E-3</v>
      </c>
    </row>
    <row r="906" spans="1:4" x14ac:dyDescent="0.3">
      <c r="A906" s="3">
        <v>45758</v>
      </c>
      <c r="B906" s="4">
        <v>22828.55</v>
      </c>
      <c r="C906" s="7">
        <v>904</v>
      </c>
      <c r="D906" s="5">
        <f t="shared" si="14"/>
        <v>1.8988933890639957E-2</v>
      </c>
    </row>
    <row r="907" spans="1:4" x14ac:dyDescent="0.3">
      <c r="A907" s="3">
        <v>45762</v>
      </c>
      <c r="B907" s="4">
        <v>23328.55</v>
      </c>
      <c r="C907" s="7">
        <v>905</v>
      </c>
      <c r="D907" s="5">
        <f t="shared" si="14"/>
        <v>2.16659867627985E-2</v>
      </c>
    </row>
    <row r="908" spans="1:4" x14ac:dyDescent="0.3">
      <c r="A908" s="3">
        <v>45763</v>
      </c>
      <c r="B908" s="4">
        <v>23437.200000000001</v>
      </c>
      <c r="C908" s="7">
        <v>906</v>
      </c>
      <c r="D908" s="5">
        <f t="shared" si="14"/>
        <v>4.6465712828317922E-3</v>
      </c>
    </row>
    <row r="909" spans="1:4" x14ac:dyDescent="0.3">
      <c r="A909" s="3">
        <v>45764</v>
      </c>
      <c r="B909" s="4">
        <v>23851.65</v>
      </c>
      <c r="C909" s="7">
        <v>907</v>
      </c>
      <c r="D909" s="5">
        <f t="shared" si="14"/>
        <v>1.7528893682587383E-2</v>
      </c>
    </row>
    <row r="910" spans="1:4" x14ac:dyDescent="0.3">
      <c r="A910" s="3">
        <v>45768</v>
      </c>
      <c r="B910" s="4">
        <v>24125.55</v>
      </c>
      <c r="C910" s="7">
        <v>908</v>
      </c>
      <c r="D910" s="5">
        <f t="shared" si="14"/>
        <v>1.1418047561345738E-2</v>
      </c>
    </row>
    <row r="911" spans="1:4" x14ac:dyDescent="0.3">
      <c r="A911" s="3">
        <v>45769</v>
      </c>
      <c r="B911" s="4">
        <v>24167.25</v>
      </c>
      <c r="C911" s="7">
        <v>909</v>
      </c>
      <c r="D911" s="5">
        <f t="shared" si="14"/>
        <v>1.726965939596701E-3</v>
      </c>
    </row>
    <row r="912" spans="1:4" x14ac:dyDescent="0.3">
      <c r="A912" s="3">
        <v>45770</v>
      </c>
      <c r="B912" s="4">
        <v>24328.95</v>
      </c>
      <c r="C912" s="7">
        <v>910</v>
      </c>
      <c r="D912" s="5">
        <f t="shared" si="14"/>
        <v>6.6685884351257562E-3</v>
      </c>
    </row>
    <row r="913" spans="1:4" x14ac:dyDescent="0.3">
      <c r="A913" s="3">
        <v>45771</v>
      </c>
      <c r="B913" s="4">
        <v>24246.7</v>
      </c>
      <c r="C913" s="7">
        <v>911</v>
      </c>
      <c r="D913" s="5">
        <f t="shared" si="14"/>
        <v>-3.386473618159028E-3</v>
      </c>
    </row>
    <row r="914" spans="1:4" x14ac:dyDescent="0.3">
      <c r="A914" s="3">
        <v>45772</v>
      </c>
      <c r="B914" s="4">
        <v>24039.35</v>
      </c>
      <c r="C914" s="7">
        <v>912</v>
      </c>
      <c r="D914" s="5">
        <f t="shared" si="14"/>
        <v>-8.588454617289994E-3</v>
      </c>
    </row>
    <row r="915" spans="1:4" x14ac:dyDescent="0.3">
      <c r="A915" s="3">
        <v>45775</v>
      </c>
      <c r="B915" s="4">
        <v>24328.5</v>
      </c>
      <c r="C915" s="7">
        <v>913</v>
      </c>
      <c r="D915" s="5">
        <f t="shared" si="14"/>
        <v>1.1956431581801425E-2</v>
      </c>
    </row>
    <row r="916" spans="1:4" x14ac:dyDescent="0.3">
      <c r="A916" s="3">
        <v>45776</v>
      </c>
      <c r="B916" s="4">
        <v>24335.95</v>
      </c>
      <c r="C916" s="7">
        <v>914</v>
      </c>
      <c r="D916" s="5">
        <f t="shared" si="14"/>
        <v>3.0617833174725629E-4</v>
      </c>
    </row>
    <row r="917" spans="1:4" x14ac:dyDescent="0.3">
      <c r="A917" s="3">
        <v>45777</v>
      </c>
      <c r="B917" s="4">
        <v>24334.2</v>
      </c>
      <c r="C917" s="7">
        <v>915</v>
      </c>
      <c r="D917" s="5">
        <f t="shared" si="14"/>
        <v>-7.1912661076828911E-5</v>
      </c>
    </row>
    <row r="918" spans="1:4" x14ac:dyDescent="0.3">
      <c r="A918" s="3">
        <v>45779</v>
      </c>
      <c r="B918" s="4">
        <v>24346.7</v>
      </c>
      <c r="C918" s="7">
        <v>916</v>
      </c>
      <c r="D918" s="5">
        <f t="shared" si="14"/>
        <v>5.1354844609369319E-4</v>
      </c>
    </row>
    <row r="919" spans="1:4" x14ac:dyDescent="0.3">
      <c r="A919" s="3">
        <v>45782</v>
      </c>
      <c r="B919" s="4">
        <v>24461.15</v>
      </c>
      <c r="C919" s="7">
        <v>917</v>
      </c>
      <c r="D919" s="5">
        <f t="shared" si="14"/>
        <v>4.6898279589179014E-3</v>
      </c>
    </row>
    <row r="920" spans="1:4" x14ac:dyDescent="0.3">
      <c r="A920" s="3">
        <v>45783</v>
      </c>
      <c r="B920" s="4">
        <v>24379.599999999999</v>
      </c>
      <c r="C920" s="7">
        <v>918</v>
      </c>
      <c r="D920" s="5">
        <f t="shared" si="14"/>
        <v>-3.3394276617622325E-3</v>
      </c>
    </row>
    <row r="921" spans="1:4" x14ac:dyDescent="0.3">
      <c r="A921" s="3">
        <v>45784</v>
      </c>
      <c r="B921" s="4">
        <v>24414.400000000001</v>
      </c>
      <c r="C921" s="7">
        <v>919</v>
      </c>
      <c r="D921" s="5">
        <f t="shared" si="14"/>
        <v>1.4264051276974533E-3</v>
      </c>
    </row>
    <row r="922" spans="1:4" x14ac:dyDescent="0.3">
      <c r="A922" s="3">
        <v>45785</v>
      </c>
      <c r="B922" s="4">
        <v>24273.8</v>
      </c>
      <c r="C922" s="7">
        <v>920</v>
      </c>
      <c r="D922" s="5">
        <f t="shared" si="14"/>
        <v>-5.7755427734603581E-3</v>
      </c>
    </row>
    <row r="923" spans="1:4" x14ac:dyDescent="0.3">
      <c r="A923" s="3">
        <v>45786</v>
      </c>
      <c r="B923" s="4">
        <v>24008</v>
      </c>
      <c r="C923" s="7">
        <v>921</v>
      </c>
      <c r="D923" s="5">
        <f t="shared" si="14"/>
        <v>-1.1010471243807775E-2</v>
      </c>
    </row>
    <row r="924" spans="1:4" x14ac:dyDescent="0.3">
      <c r="A924" s="3">
        <v>45789</v>
      </c>
      <c r="B924" s="4">
        <v>24924.7</v>
      </c>
      <c r="C924" s="7">
        <v>922</v>
      </c>
      <c r="D924" s="5">
        <f t="shared" si="14"/>
        <v>3.7472171529076455E-2</v>
      </c>
    </row>
    <row r="925" spans="1:4" x14ac:dyDescent="0.3">
      <c r="A925" s="3">
        <v>45790</v>
      </c>
      <c r="B925" s="4">
        <v>24578.35</v>
      </c>
      <c r="C925" s="7">
        <v>923</v>
      </c>
      <c r="D925" s="5">
        <f t="shared" si="14"/>
        <v>-1.3993305528556882E-2</v>
      </c>
    </row>
    <row r="926" spans="1:4" x14ac:dyDescent="0.3">
      <c r="A926" s="3">
        <v>45791</v>
      </c>
      <c r="B926" s="4">
        <v>24666.9</v>
      </c>
      <c r="C926" s="7">
        <v>924</v>
      </c>
      <c r="D926" s="5">
        <f t="shared" si="14"/>
        <v>3.5962898121936287E-3</v>
      </c>
    </row>
    <row r="927" spans="1:4" x14ac:dyDescent="0.3">
      <c r="A927" s="3">
        <v>45792</v>
      </c>
      <c r="B927" s="4">
        <v>25062.1</v>
      </c>
      <c r="C927" s="7">
        <v>925</v>
      </c>
      <c r="D927" s="5">
        <f t="shared" si="14"/>
        <v>1.5894480888894447E-2</v>
      </c>
    </row>
    <row r="928" spans="1:4" x14ac:dyDescent="0.3">
      <c r="A928" s="3">
        <v>45793</v>
      </c>
      <c r="B928" s="4">
        <v>25019.8</v>
      </c>
      <c r="C928" s="7">
        <v>926</v>
      </c>
      <c r="D928" s="5">
        <f t="shared" si="14"/>
        <v>-1.6892334379733957E-3</v>
      </c>
    </row>
    <row r="929" spans="1:4" x14ac:dyDescent="0.3">
      <c r="A929" s="3">
        <v>45796</v>
      </c>
      <c r="B929" s="4">
        <v>24945.45</v>
      </c>
      <c r="C929" s="7">
        <v>927</v>
      </c>
      <c r="D929" s="5">
        <f t="shared" si="14"/>
        <v>-2.976070564100508E-3</v>
      </c>
    </row>
    <row r="930" spans="1:4" x14ac:dyDescent="0.3">
      <c r="A930" s="3">
        <v>45797</v>
      </c>
      <c r="B930" s="4">
        <v>24683.9</v>
      </c>
      <c r="C930" s="7">
        <v>928</v>
      </c>
      <c r="D930" s="5">
        <f t="shared" si="14"/>
        <v>-1.0540231594245037E-2</v>
      </c>
    </row>
    <row r="931" spans="1:4" x14ac:dyDescent="0.3">
      <c r="A931" s="3">
        <v>45798</v>
      </c>
      <c r="B931" s="4">
        <v>24813.45</v>
      </c>
      <c r="C931" s="7">
        <v>929</v>
      </c>
      <c r="D931" s="5">
        <f t="shared" si="14"/>
        <v>5.2346356247726386E-3</v>
      </c>
    </row>
    <row r="932" spans="1:4" x14ac:dyDescent="0.3">
      <c r="A932" s="3">
        <v>45799</v>
      </c>
      <c r="B932" s="4">
        <v>24609.7</v>
      </c>
      <c r="C932" s="7">
        <v>930</v>
      </c>
      <c r="D932" s="5">
        <f t="shared" si="14"/>
        <v>-8.2451707060623922E-3</v>
      </c>
    </row>
    <row r="933" spans="1:4" x14ac:dyDescent="0.3">
      <c r="A933" s="3">
        <v>45800</v>
      </c>
      <c r="B933" s="4">
        <v>24853.15</v>
      </c>
      <c r="C933" s="7">
        <v>931</v>
      </c>
      <c r="D933" s="5">
        <f t="shared" si="14"/>
        <v>9.8438309105117507E-3</v>
      </c>
    </row>
    <row r="934" spans="1:4" x14ac:dyDescent="0.3">
      <c r="A934" s="3">
        <v>45803</v>
      </c>
      <c r="B934" s="4">
        <v>25001.15</v>
      </c>
      <c r="C934" s="7">
        <v>932</v>
      </c>
      <c r="D934" s="5">
        <f t="shared" si="14"/>
        <v>5.9373187376564407E-3</v>
      </c>
    </row>
    <row r="935" spans="1:4" x14ac:dyDescent="0.3">
      <c r="A935" s="3">
        <v>45804</v>
      </c>
      <c r="B935" s="4">
        <v>24826.2</v>
      </c>
      <c r="C935" s="7">
        <v>933</v>
      </c>
      <c r="D935" s="5">
        <f t="shared" si="14"/>
        <v>-7.0222766786781181E-3</v>
      </c>
    </row>
    <row r="936" spans="1:4" x14ac:dyDescent="0.3">
      <c r="A936" s="3">
        <v>45805</v>
      </c>
      <c r="B936" s="4">
        <v>24752.45</v>
      </c>
      <c r="C936" s="7">
        <v>934</v>
      </c>
      <c r="D936" s="5">
        <f t="shared" si="14"/>
        <v>-2.9750731170425774E-3</v>
      </c>
    </row>
    <row r="937" spans="1:4" x14ac:dyDescent="0.3">
      <c r="A937" s="3">
        <v>45806</v>
      </c>
      <c r="B937" s="4">
        <v>24833.599999999999</v>
      </c>
      <c r="C937" s="7">
        <v>935</v>
      </c>
      <c r="D937" s="5">
        <f t="shared" si="14"/>
        <v>3.2731009002705618E-3</v>
      </c>
    </row>
    <row r="938" spans="1:4" x14ac:dyDescent="0.3">
      <c r="A938" s="3">
        <v>45807</v>
      </c>
      <c r="B938" s="4">
        <v>24750.7</v>
      </c>
      <c r="C938" s="7">
        <v>936</v>
      </c>
      <c r="D938" s="5">
        <f t="shared" si="14"/>
        <v>-3.3438034717525197E-3</v>
      </c>
    </row>
    <row r="939" spans="1:4" x14ac:dyDescent="0.3">
      <c r="A939" s="3">
        <v>45810</v>
      </c>
      <c r="B939" s="4">
        <v>24716.6</v>
      </c>
      <c r="C939" s="7">
        <v>937</v>
      </c>
      <c r="D939" s="5">
        <f t="shared" si="14"/>
        <v>-1.3786887661705169E-3</v>
      </c>
    </row>
    <row r="940" spans="1:4" x14ac:dyDescent="0.3">
      <c r="A940" s="3">
        <v>45811</v>
      </c>
      <c r="B940" s="4">
        <v>24542.5</v>
      </c>
      <c r="C940" s="7">
        <v>938</v>
      </c>
      <c r="D940" s="5">
        <f t="shared" si="14"/>
        <v>-7.0687740923206172E-3</v>
      </c>
    </row>
    <row r="941" spans="1:4" x14ac:dyDescent="0.3">
      <c r="A941" s="3">
        <v>45812</v>
      </c>
      <c r="B941" s="4">
        <v>24620.2</v>
      </c>
      <c r="C941" s="7">
        <v>939</v>
      </c>
      <c r="D941" s="5">
        <f t="shared" si="14"/>
        <v>3.1609356156210005E-3</v>
      </c>
    </row>
    <row r="942" spans="1:4" x14ac:dyDescent="0.3">
      <c r="A942" s="3">
        <v>45813</v>
      </c>
      <c r="B942" s="4">
        <v>24750.9</v>
      </c>
      <c r="C942" s="7">
        <v>940</v>
      </c>
      <c r="D942" s="5">
        <f t="shared" si="14"/>
        <v>5.2946077897617046E-3</v>
      </c>
    </row>
    <row r="943" spans="1:4" x14ac:dyDescent="0.3">
      <c r="A943" s="3">
        <v>45814</v>
      </c>
      <c r="B943" s="4">
        <v>25003.05</v>
      </c>
      <c r="C943" s="7">
        <v>941</v>
      </c>
      <c r="D943" s="5">
        <f t="shared" si="14"/>
        <v>1.0135965436883998E-2</v>
      </c>
    </row>
    <row r="944" spans="1:4" x14ac:dyDescent="0.3">
      <c r="A944" s="3">
        <v>45817</v>
      </c>
      <c r="B944" s="4">
        <v>25103.200000000001</v>
      </c>
      <c r="C944" s="7">
        <v>942</v>
      </c>
      <c r="D944" s="5">
        <f t="shared" si="14"/>
        <v>3.9975106246084267E-3</v>
      </c>
    </row>
    <row r="945" spans="1:4" x14ac:dyDescent="0.3">
      <c r="A945" s="3">
        <v>45818</v>
      </c>
      <c r="B945" s="4">
        <v>25104.25</v>
      </c>
      <c r="C945" s="7">
        <v>943</v>
      </c>
      <c r="D945" s="5">
        <f t="shared" si="14"/>
        <v>4.1826462015294284E-5</v>
      </c>
    </row>
    <row r="946" spans="1:4" x14ac:dyDescent="0.3">
      <c r="A946" s="3">
        <v>45819</v>
      </c>
      <c r="B946" s="4">
        <v>25141.4</v>
      </c>
      <c r="C946" s="7">
        <v>944</v>
      </c>
      <c r="D946" s="5">
        <f t="shared" si="14"/>
        <v>1.4787352445249067E-3</v>
      </c>
    </row>
    <row r="947" spans="1:4" x14ac:dyDescent="0.3">
      <c r="A947" s="3">
        <v>45820</v>
      </c>
      <c r="B947" s="4">
        <v>24888.2</v>
      </c>
      <c r="C947" s="7">
        <v>945</v>
      </c>
      <c r="D947" s="5">
        <f t="shared" si="14"/>
        <v>-1.0122094193621185E-2</v>
      </c>
    </row>
    <row r="948" spans="1:4" x14ac:dyDescent="0.3">
      <c r="A948" s="3">
        <v>45821</v>
      </c>
      <c r="B948" s="4">
        <v>24718.6</v>
      </c>
      <c r="C948" s="7">
        <v>946</v>
      </c>
      <c r="D948" s="5">
        <f t="shared" si="14"/>
        <v>-6.8377988828330826E-3</v>
      </c>
    </row>
    <row r="949" spans="1:4" x14ac:dyDescent="0.3">
      <c r="A949" s="3">
        <v>45824</v>
      </c>
      <c r="B949" s="4">
        <v>24946.5</v>
      </c>
      <c r="C949" s="7">
        <v>947</v>
      </c>
      <c r="D949" s="5">
        <f t="shared" si="14"/>
        <v>9.177535114667245E-3</v>
      </c>
    </row>
    <row r="950" spans="1:4" x14ac:dyDescent="0.3">
      <c r="A950" s="3">
        <v>45825</v>
      </c>
      <c r="B950" s="4">
        <v>24853.4</v>
      </c>
      <c r="C950" s="7">
        <v>948</v>
      </c>
      <c r="D950" s="5">
        <f t="shared" si="14"/>
        <v>-3.7389676871053394E-3</v>
      </c>
    </row>
    <row r="951" spans="1:4" x14ac:dyDescent="0.3">
      <c r="A951" s="3">
        <v>45826</v>
      </c>
      <c r="B951" s="4">
        <v>24812.05</v>
      </c>
      <c r="C951" s="7">
        <v>949</v>
      </c>
      <c r="D951" s="5">
        <f t="shared" si="14"/>
        <v>-1.6651418462635466E-3</v>
      </c>
    </row>
    <row r="952" spans="1:4" x14ac:dyDescent="0.3">
      <c r="A952" s="3">
        <v>45827</v>
      </c>
      <c r="B952" s="4">
        <v>24793.25</v>
      </c>
      <c r="C952" s="7">
        <v>950</v>
      </c>
      <c r="D952" s="5">
        <f t="shared" si="14"/>
        <v>-7.5798355821293751E-4</v>
      </c>
    </row>
    <row r="953" spans="1:4" x14ac:dyDescent="0.3">
      <c r="A953" s="3">
        <v>45828</v>
      </c>
      <c r="B953" s="4">
        <v>25112.400000000001</v>
      </c>
      <c r="C953" s="7">
        <v>951</v>
      </c>
      <c r="D953" s="5">
        <f t="shared" si="14"/>
        <v>1.2790309347901757E-2</v>
      </c>
    </row>
    <row r="954" spans="1:4" x14ac:dyDescent="0.3">
      <c r="A954" s="3">
        <v>45831</v>
      </c>
      <c r="B954" s="4">
        <v>24971.9</v>
      </c>
      <c r="C954" s="7">
        <v>952</v>
      </c>
      <c r="D954" s="5">
        <f t="shared" si="14"/>
        <v>-5.610555346030624E-3</v>
      </c>
    </row>
    <row r="955" spans="1:4" x14ac:dyDescent="0.3">
      <c r="A955" s="3">
        <v>45832</v>
      </c>
      <c r="B955" s="4">
        <v>25044.35</v>
      </c>
      <c r="C955" s="7">
        <v>953</v>
      </c>
      <c r="D955" s="5">
        <f t="shared" si="14"/>
        <v>2.8970604822426802E-3</v>
      </c>
    </row>
    <row r="956" spans="1:4" x14ac:dyDescent="0.3">
      <c r="A956" s="3">
        <v>45833</v>
      </c>
      <c r="B956" s="4">
        <v>25244.75</v>
      </c>
      <c r="C956" s="7">
        <v>954</v>
      </c>
      <c r="D956" s="5">
        <f t="shared" si="14"/>
        <v>7.969960122065977E-3</v>
      </c>
    </row>
    <row r="957" spans="1:4" x14ac:dyDescent="0.3">
      <c r="A957" s="3">
        <v>45834</v>
      </c>
      <c r="B957" s="4">
        <v>25549</v>
      </c>
      <c r="C957" s="7">
        <v>955</v>
      </c>
      <c r="D957" s="5">
        <f t="shared" si="14"/>
        <v>1.1979963629751521E-2</v>
      </c>
    </row>
    <row r="958" spans="1:4" x14ac:dyDescent="0.3">
      <c r="A958" s="3">
        <v>45835</v>
      </c>
      <c r="B958" s="4">
        <v>25637.8</v>
      </c>
      <c r="C958" s="7">
        <v>956</v>
      </c>
      <c r="D958" s="5">
        <f t="shared" si="14"/>
        <v>3.4696479984903748E-3</v>
      </c>
    </row>
    <row r="959" spans="1:4" x14ac:dyDescent="0.3">
      <c r="A959" s="3">
        <v>45838</v>
      </c>
      <c r="B959" s="4">
        <v>25517.05</v>
      </c>
      <c r="C959" s="7">
        <v>957</v>
      </c>
      <c r="D959" s="5">
        <f t="shared" si="14"/>
        <v>-4.7209687553906882E-3</v>
      </c>
    </row>
    <row r="960" spans="1:4" x14ac:dyDescent="0.3">
      <c r="A960" s="3">
        <v>45839</v>
      </c>
      <c r="B960" s="4">
        <v>25541.8</v>
      </c>
      <c r="C960" s="7">
        <v>958</v>
      </c>
      <c r="D960" s="5">
        <f t="shared" si="14"/>
        <v>9.6946961940914944E-4</v>
      </c>
    </row>
    <row r="961" spans="1:4" x14ac:dyDescent="0.3">
      <c r="A961" s="3">
        <v>45840</v>
      </c>
      <c r="B961" s="4">
        <v>25453.4</v>
      </c>
      <c r="C961" s="7">
        <v>959</v>
      </c>
      <c r="D961" s="5">
        <f t="shared" si="14"/>
        <v>-3.4669964446766102E-3</v>
      </c>
    </row>
    <row r="962" spans="1:4" x14ac:dyDescent="0.3">
      <c r="A962" s="3">
        <v>45841</v>
      </c>
      <c r="B962" s="4">
        <v>25405.3</v>
      </c>
      <c r="C962" s="7">
        <v>960</v>
      </c>
      <c r="D962" s="5">
        <f t="shared" si="14"/>
        <v>-1.8915156833006601E-3</v>
      </c>
    </row>
    <row r="963" spans="1:4" x14ac:dyDescent="0.3">
      <c r="A963" s="3">
        <v>45842</v>
      </c>
      <c r="B963" s="4">
        <v>25461</v>
      </c>
      <c r="C963" s="7">
        <v>961</v>
      </c>
      <c r="D963" s="5">
        <f t="shared" ref="D963:D1026" si="15">LN(B963/B962)</f>
        <v>2.1900559806014813E-3</v>
      </c>
    </row>
    <row r="964" spans="1:4" x14ac:dyDescent="0.3">
      <c r="A964" s="3">
        <v>45845</v>
      </c>
      <c r="B964" s="4">
        <v>25461.3</v>
      </c>
      <c r="C964" s="7">
        <v>962</v>
      </c>
      <c r="D964" s="5">
        <f t="shared" si="15"/>
        <v>1.1782657107136236E-5</v>
      </c>
    </row>
    <row r="965" spans="1:4" x14ac:dyDescent="0.3">
      <c r="A965" s="3">
        <v>45846</v>
      </c>
      <c r="B965" s="4">
        <v>25522.5</v>
      </c>
      <c r="C965" s="7">
        <v>963</v>
      </c>
      <c r="D965" s="5">
        <f t="shared" si="15"/>
        <v>2.4007637482767337E-3</v>
      </c>
    </row>
    <row r="966" spans="1:4" x14ac:dyDescent="0.3">
      <c r="A966" s="3">
        <v>45847</v>
      </c>
      <c r="B966" s="4">
        <v>25476.1</v>
      </c>
      <c r="C966" s="7">
        <v>964</v>
      </c>
      <c r="D966" s="5">
        <f t="shared" si="15"/>
        <v>-1.8196582966253595E-3</v>
      </c>
    </row>
    <row r="967" spans="1:4" x14ac:dyDescent="0.3">
      <c r="A967" s="3">
        <v>45848</v>
      </c>
      <c r="B967" s="4">
        <v>25355.25</v>
      </c>
      <c r="C967" s="7">
        <v>965</v>
      </c>
      <c r="D967" s="5">
        <f t="shared" si="15"/>
        <v>-4.7549485778671007E-3</v>
      </c>
    </row>
    <row r="968" spans="1:4" x14ac:dyDescent="0.3">
      <c r="A968" s="3">
        <v>45849</v>
      </c>
      <c r="B968" s="4">
        <v>25149.85</v>
      </c>
      <c r="C968" s="7">
        <v>966</v>
      </c>
      <c r="D968" s="5">
        <f t="shared" si="15"/>
        <v>-8.1338768732905544E-3</v>
      </c>
    </row>
    <row r="969" spans="1:4" x14ac:dyDescent="0.3">
      <c r="A969" s="3">
        <v>45852</v>
      </c>
      <c r="B969" s="4">
        <v>25082.3</v>
      </c>
      <c r="C969" s="7">
        <v>967</v>
      </c>
      <c r="D969" s="5">
        <f t="shared" si="15"/>
        <v>-2.6895142142431107E-3</v>
      </c>
    </row>
    <row r="970" spans="1:4" x14ac:dyDescent="0.3">
      <c r="A970" s="3">
        <v>45853</v>
      </c>
      <c r="B970" s="4">
        <v>25195.8</v>
      </c>
      <c r="C970" s="7">
        <v>968</v>
      </c>
      <c r="D970" s="5">
        <f t="shared" si="15"/>
        <v>4.5148958612713751E-3</v>
      </c>
    </row>
    <row r="971" spans="1:4" x14ac:dyDescent="0.3">
      <c r="A971" s="3">
        <v>45854</v>
      </c>
      <c r="B971" s="4">
        <v>25212.05</v>
      </c>
      <c r="C971" s="7">
        <v>969</v>
      </c>
      <c r="D971" s="5">
        <f t="shared" si="15"/>
        <v>6.4474087122986417E-4</v>
      </c>
    </row>
    <row r="972" spans="1:4" x14ac:dyDescent="0.3">
      <c r="A972" s="3">
        <v>45855</v>
      </c>
      <c r="B972" s="4">
        <v>25111.45</v>
      </c>
      <c r="C972" s="7">
        <v>970</v>
      </c>
      <c r="D972" s="5">
        <f t="shared" si="15"/>
        <v>-3.9981374112852634E-3</v>
      </c>
    </row>
    <row r="973" spans="1:4" x14ac:dyDescent="0.3">
      <c r="A973" s="3">
        <v>45856</v>
      </c>
      <c r="B973" s="4">
        <v>24968.400000000001</v>
      </c>
      <c r="C973" s="7">
        <v>971</v>
      </c>
      <c r="D973" s="5">
        <f t="shared" si="15"/>
        <v>-5.7128920738239268E-3</v>
      </c>
    </row>
    <row r="974" spans="1:4" x14ac:dyDescent="0.3">
      <c r="A974" s="3">
        <v>45859</v>
      </c>
      <c r="B974" s="4">
        <v>25090.7</v>
      </c>
      <c r="C974" s="7">
        <v>972</v>
      </c>
      <c r="D974" s="5">
        <f t="shared" si="15"/>
        <v>4.8862342043243081E-3</v>
      </c>
    </row>
    <row r="975" spans="1:4" x14ac:dyDescent="0.3">
      <c r="A975" s="3">
        <v>45860</v>
      </c>
      <c r="B975" s="4">
        <v>25060.9</v>
      </c>
      <c r="C975" s="7">
        <v>973</v>
      </c>
      <c r="D975" s="5">
        <f t="shared" si="15"/>
        <v>-1.1883969208231818E-3</v>
      </c>
    </row>
    <row r="976" spans="1:4" x14ac:dyDescent="0.3">
      <c r="A976" s="3">
        <v>45861</v>
      </c>
      <c r="B976" s="4">
        <v>25219.9</v>
      </c>
      <c r="C976" s="7">
        <v>974</v>
      </c>
      <c r="D976" s="5">
        <f t="shared" si="15"/>
        <v>6.3245027919540961E-3</v>
      </c>
    </row>
    <row r="977" spans="1:4" x14ac:dyDescent="0.3">
      <c r="A977" s="3">
        <v>45862</v>
      </c>
      <c r="B977" s="4">
        <v>25062.1</v>
      </c>
      <c r="C977" s="7">
        <v>975</v>
      </c>
      <c r="D977" s="5">
        <f t="shared" si="15"/>
        <v>-6.2766205821811125E-3</v>
      </c>
    </row>
    <row r="978" spans="1:4" x14ac:dyDescent="0.3">
      <c r="A978" s="3">
        <v>45863</v>
      </c>
      <c r="B978" s="4">
        <v>24837</v>
      </c>
      <c r="C978" s="7">
        <v>976</v>
      </c>
      <c r="D978" s="5">
        <f t="shared" si="15"/>
        <v>-9.0222680148949828E-3</v>
      </c>
    </row>
    <row r="979" spans="1:4" x14ac:dyDescent="0.3">
      <c r="A979" s="3">
        <v>45866</v>
      </c>
      <c r="B979" s="4">
        <v>24680.9</v>
      </c>
      <c r="C979" s="7">
        <v>977</v>
      </c>
      <c r="D979" s="5">
        <f t="shared" si="15"/>
        <v>-6.3048116777717281E-3</v>
      </c>
    </row>
    <row r="980" spans="1:4" x14ac:dyDescent="0.3">
      <c r="A980" s="3">
        <v>45867</v>
      </c>
      <c r="B980" s="4">
        <v>24821.1</v>
      </c>
      <c r="C980" s="7">
        <v>978</v>
      </c>
      <c r="D980" s="5">
        <f t="shared" si="15"/>
        <v>5.6644327448940367E-3</v>
      </c>
    </row>
    <row r="981" spans="1:4" x14ac:dyDescent="0.3">
      <c r="A981" s="3">
        <v>45868</v>
      </c>
      <c r="B981" s="4">
        <v>24855.05</v>
      </c>
      <c r="C981" s="7">
        <v>979</v>
      </c>
      <c r="D981" s="5">
        <f t="shared" si="15"/>
        <v>1.3668533203841048E-3</v>
      </c>
    </row>
    <row r="982" spans="1:4" x14ac:dyDescent="0.3">
      <c r="A982" s="3">
        <v>45869</v>
      </c>
      <c r="B982" s="4">
        <v>24768.35</v>
      </c>
      <c r="C982" s="7">
        <v>980</v>
      </c>
      <c r="D982" s="5">
        <f t="shared" si="15"/>
        <v>-3.4943227678611022E-3</v>
      </c>
    </row>
    <row r="983" spans="1:4" x14ac:dyDescent="0.3">
      <c r="A983" s="3">
        <v>45870</v>
      </c>
      <c r="B983" s="4">
        <v>24565.35</v>
      </c>
      <c r="C983" s="7">
        <v>981</v>
      </c>
      <c r="D983" s="5">
        <f t="shared" si="15"/>
        <v>-8.2297150116146193E-3</v>
      </c>
    </row>
    <row r="984" spans="1:4" x14ac:dyDescent="0.3">
      <c r="A984" s="3">
        <v>45873</v>
      </c>
      <c r="B984" s="4">
        <v>24722.75</v>
      </c>
      <c r="C984" s="7">
        <v>982</v>
      </c>
      <c r="D984" s="5">
        <f t="shared" si="15"/>
        <v>6.3869589240010231E-3</v>
      </c>
    </row>
    <row r="985" spans="1:4" x14ac:dyDescent="0.3">
      <c r="A985" s="3">
        <v>45874</v>
      </c>
      <c r="B985" s="4">
        <v>24649.55</v>
      </c>
      <c r="C985" s="7">
        <v>983</v>
      </c>
      <c r="D985" s="5">
        <f t="shared" si="15"/>
        <v>-2.9652276128395885E-3</v>
      </c>
    </row>
    <row r="986" spans="1:4" x14ac:dyDescent="0.3">
      <c r="A986" s="3">
        <v>45875</v>
      </c>
      <c r="B986" s="4">
        <v>24574.2</v>
      </c>
      <c r="C986" s="7">
        <v>984</v>
      </c>
      <c r="D986" s="5">
        <f t="shared" si="15"/>
        <v>-3.0615326485490348E-3</v>
      </c>
    </row>
    <row r="987" spans="1:4" x14ac:dyDescent="0.3">
      <c r="A987" s="3">
        <v>45876</v>
      </c>
      <c r="B987" s="4">
        <v>24596.15</v>
      </c>
      <c r="C987" s="7">
        <v>985</v>
      </c>
      <c r="D987" s="5">
        <f t="shared" si="15"/>
        <v>8.9281452981572603E-4</v>
      </c>
    </row>
    <row r="988" spans="1:4" x14ac:dyDescent="0.3">
      <c r="A988" s="3">
        <v>45877</v>
      </c>
      <c r="B988" s="4">
        <v>24363.3</v>
      </c>
      <c r="C988" s="7">
        <v>986</v>
      </c>
      <c r="D988" s="5">
        <f t="shared" si="15"/>
        <v>-9.5120249782038261E-3</v>
      </c>
    </row>
    <row r="989" spans="1:4" x14ac:dyDescent="0.3">
      <c r="A989" s="3">
        <v>45880</v>
      </c>
      <c r="B989" s="4">
        <v>24585.05</v>
      </c>
      <c r="C989" s="7">
        <v>987</v>
      </c>
      <c r="D989" s="5">
        <f t="shared" si="15"/>
        <v>9.0606329752241262E-3</v>
      </c>
    </row>
    <row r="990" spans="1:4" x14ac:dyDescent="0.3">
      <c r="A990" s="3">
        <v>45881</v>
      </c>
      <c r="B990" s="4">
        <v>24487.4</v>
      </c>
      <c r="C990" s="7">
        <v>988</v>
      </c>
      <c r="D990" s="5">
        <f t="shared" si="15"/>
        <v>-3.9798350761185517E-3</v>
      </c>
    </row>
    <row r="991" spans="1:4" x14ac:dyDescent="0.3">
      <c r="A991" s="3">
        <v>45882</v>
      </c>
      <c r="B991" s="4">
        <v>24619.35</v>
      </c>
      <c r="C991" s="7">
        <v>989</v>
      </c>
      <c r="D991" s="5">
        <f t="shared" si="15"/>
        <v>5.3740195618916181E-3</v>
      </c>
    </row>
    <row r="992" spans="1:4" x14ac:dyDescent="0.3">
      <c r="A992" s="3">
        <v>45883</v>
      </c>
      <c r="B992" s="4">
        <v>24631.3</v>
      </c>
      <c r="C992" s="7">
        <v>990</v>
      </c>
      <c r="D992" s="5">
        <f t="shared" si="15"/>
        <v>4.8527279272500415E-4</v>
      </c>
    </row>
    <row r="993" spans="1:4" x14ac:dyDescent="0.3">
      <c r="A993" s="3">
        <v>45887</v>
      </c>
      <c r="B993" s="4">
        <v>24876.95</v>
      </c>
      <c r="C993" s="7">
        <v>991</v>
      </c>
      <c r="D993" s="5">
        <f t="shared" si="15"/>
        <v>9.9236800312108801E-3</v>
      </c>
    </row>
    <row r="994" spans="1:4" x14ac:dyDescent="0.3">
      <c r="A994" s="3">
        <v>45888</v>
      </c>
      <c r="B994" s="4">
        <v>24980.65</v>
      </c>
      <c r="C994" s="7">
        <v>992</v>
      </c>
      <c r="D994" s="5">
        <f t="shared" si="15"/>
        <v>4.1598532435831309E-3</v>
      </c>
    </row>
    <row r="995" spans="1:4" x14ac:dyDescent="0.3">
      <c r="A995" s="3">
        <v>45889</v>
      </c>
      <c r="B995" s="4">
        <v>25050.55</v>
      </c>
      <c r="C995" s="7">
        <v>993</v>
      </c>
      <c r="D995" s="5">
        <f t="shared" si="15"/>
        <v>2.7942582021172405E-3</v>
      </c>
    </row>
    <row r="996" spans="1:4" x14ac:dyDescent="0.3">
      <c r="A996" s="3">
        <v>45890</v>
      </c>
      <c r="B996" s="4">
        <v>25083.75</v>
      </c>
      <c r="C996" s="7">
        <v>994</v>
      </c>
      <c r="D996" s="5">
        <f t="shared" si="15"/>
        <v>1.324442740923701E-3</v>
      </c>
    </row>
    <row r="997" spans="1:4" x14ac:dyDescent="0.3">
      <c r="A997" s="3">
        <v>45891</v>
      </c>
      <c r="B997" s="4">
        <v>24870.1</v>
      </c>
      <c r="C997" s="7">
        <v>995</v>
      </c>
      <c r="D997" s="5">
        <f t="shared" si="15"/>
        <v>-8.5539474026356463E-3</v>
      </c>
    </row>
    <row r="998" spans="1:4" x14ac:dyDescent="0.3">
      <c r="A998" s="3">
        <v>45894</v>
      </c>
      <c r="B998" s="4">
        <v>24967.75</v>
      </c>
      <c r="C998" s="7">
        <v>996</v>
      </c>
      <c r="D998" s="5">
        <f t="shared" si="15"/>
        <v>3.9187133859900506E-3</v>
      </c>
    </row>
    <row r="999" spans="1:4" x14ac:dyDescent="0.3">
      <c r="A999" s="3">
        <v>45895</v>
      </c>
      <c r="B999" s="4">
        <v>24712.05</v>
      </c>
      <c r="C999" s="7">
        <v>997</v>
      </c>
      <c r="D999" s="5">
        <f t="shared" si="15"/>
        <v>-1.0294013179196964E-2</v>
      </c>
    </row>
    <row r="1000" spans="1:4" x14ac:dyDescent="0.3">
      <c r="A1000" s="3">
        <v>45897</v>
      </c>
      <c r="B1000" s="4">
        <v>24500.9</v>
      </c>
      <c r="C1000" s="7">
        <v>998</v>
      </c>
      <c r="D1000" s="5">
        <f t="shared" si="15"/>
        <v>-8.5811273528911703E-3</v>
      </c>
    </row>
    <row r="1001" spans="1:4" x14ac:dyDescent="0.3">
      <c r="A1001" s="3">
        <v>45898</v>
      </c>
      <c r="B1001" s="4">
        <v>24426.85</v>
      </c>
      <c r="C1001" s="7">
        <v>999</v>
      </c>
      <c r="D1001" s="5">
        <f t="shared" si="15"/>
        <v>-3.0269144417419749E-3</v>
      </c>
    </row>
    <row r="1002" spans="1:4" x14ac:dyDescent="0.3">
      <c r="A1002" s="3">
        <v>45901</v>
      </c>
      <c r="B1002" s="4">
        <v>24625.05</v>
      </c>
      <c r="C1002" s="7">
        <v>1000</v>
      </c>
      <c r="D1002" s="5">
        <f t="shared" si="15"/>
        <v>8.0812803848293591E-3</v>
      </c>
    </row>
    <row r="1003" spans="1:4" x14ac:dyDescent="0.3">
      <c r="A1003" s="3">
        <v>45902</v>
      </c>
      <c r="B1003" s="4">
        <v>24579.599999999999</v>
      </c>
      <c r="C1003" s="7">
        <v>1001</v>
      </c>
      <c r="D1003" s="5">
        <f t="shared" si="15"/>
        <v>-1.8473869004707994E-3</v>
      </c>
    </row>
    <row r="1004" spans="1:4" x14ac:dyDescent="0.3">
      <c r="A1004" s="3">
        <v>45903</v>
      </c>
      <c r="B1004" s="4">
        <v>24715.05</v>
      </c>
      <c r="C1004" s="7">
        <v>1002</v>
      </c>
      <c r="D1004" s="5">
        <f t="shared" si="15"/>
        <v>5.495539207320317E-3</v>
      </c>
    </row>
    <row r="1005" spans="1:4" x14ac:dyDescent="0.3">
      <c r="A1005" s="3">
        <v>45904</v>
      </c>
      <c r="B1005" s="4">
        <v>24734.3</v>
      </c>
      <c r="C1005" s="7">
        <v>1003</v>
      </c>
      <c r="D1005" s="5">
        <f t="shared" si="15"/>
        <v>7.7857447964071113E-4</v>
      </c>
    </row>
    <row r="1006" spans="1:4" x14ac:dyDescent="0.3">
      <c r="A1006" s="3">
        <v>45905</v>
      </c>
      <c r="B1006" s="4">
        <v>24741</v>
      </c>
      <c r="C1006" s="7">
        <v>1004</v>
      </c>
      <c r="D1006" s="5">
        <f t="shared" si="15"/>
        <v>2.708422198937796E-4</v>
      </c>
    </row>
    <row r="1007" spans="1:4" x14ac:dyDescent="0.3">
      <c r="A1007" s="3">
        <v>45908</v>
      </c>
      <c r="B1007" s="4">
        <v>24773.15</v>
      </c>
      <c r="C1007" s="7">
        <v>1005</v>
      </c>
      <c r="D1007" s="5">
        <f t="shared" si="15"/>
        <v>1.2986188601915426E-3</v>
      </c>
    </row>
    <row r="1008" spans="1:4" x14ac:dyDescent="0.3">
      <c r="A1008" s="3">
        <v>45909</v>
      </c>
      <c r="B1008" s="4">
        <v>24868.6</v>
      </c>
      <c r="C1008" s="7">
        <v>1006</v>
      </c>
      <c r="D1008" s="5">
        <f t="shared" si="15"/>
        <v>3.8455581291435849E-3</v>
      </c>
    </row>
    <row r="1009" spans="1:4" x14ac:dyDescent="0.3">
      <c r="A1009" s="3">
        <v>45910</v>
      </c>
      <c r="B1009" s="4">
        <v>24973.1</v>
      </c>
      <c r="C1009" s="7">
        <v>1007</v>
      </c>
      <c r="D1009" s="5">
        <f t="shared" si="15"/>
        <v>4.1932820559463261E-3</v>
      </c>
    </row>
    <row r="1010" spans="1:4" x14ac:dyDescent="0.3">
      <c r="A1010" s="3">
        <v>45911</v>
      </c>
      <c r="B1010" s="4">
        <v>25005.5</v>
      </c>
      <c r="C1010" s="7">
        <v>1008</v>
      </c>
      <c r="D1010" s="5">
        <f t="shared" si="15"/>
        <v>1.2965551071398326E-3</v>
      </c>
    </row>
    <row r="1011" spans="1:4" x14ac:dyDescent="0.3">
      <c r="A1011" s="3">
        <v>45912</v>
      </c>
      <c r="B1011" s="4">
        <v>25114</v>
      </c>
      <c r="C1011" s="7">
        <v>1009</v>
      </c>
      <c r="D1011" s="5">
        <f t="shared" si="15"/>
        <v>4.3296588950226811E-3</v>
      </c>
    </row>
    <row r="1012" spans="1:4" x14ac:dyDescent="0.3">
      <c r="A1012" s="3">
        <v>45915</v>
      </c>
      <c r="B1012" s="4">
        <v>25069.200000000001</v>
      </c>
      <c r="C1012" s="7">
        <v>1010</v>
      </c>
      <c r="D1012" s="5">
        <f t="shared" si="15"/>
        <v>-1.7854585559052094E-3</v>
      </c>
    </row>
    <row r="1013" spans="1:4" x14ac:dyDescent="0.3">
      <c r="A1013" s="3">
        <v>45916</v>
      </c>
      <c r="B1013" s="4">
        <v>25239.1</v>
      </c>
      <c r="C1013" s="7">
        <v>1011</v>
      </c>
      <c r="D1013" s="5">
        <f t="shared" si="15"/>
        <v>6.7543783401827241E-3</v>
      </c>
    </row>
    <row r="1014" spans="1:4" x14ac:dyDescent="0.3">
      <c r="A1014" s="3">
        <v>45917</v>
      </c>
      <c r="B1014" s="4">
        <v>25330.25</v>
      </c>
      <c r="C1014" s="7">
        <v>1012</v>
      </c>
      <c r="D1014" s="5">
        <f t="shared" si="15"/>
        <v>3.6049543335288465E-3</v>
      </c>
    </row>
    <row r="1015" spans="1:4" x14ac:dyDescent="0.3">
      <c r="A1015" s="3">
        <v>45918</v>
      </c>
      <c r="B1015" s="4">
        <v>25423.599999999999</v>
      </c>
      <c r="C1015" s="7">
        <v>1013</v>
      </c>
      <c r="D1015" s="5">
        <f t="shared" si="15"/>
        <v>3.6785428205012871E-3</v>
      </c>
    </row>
    <row r="1016" spans="1:4" x14ac:dyDescent="0.3">
      <c r="A1016" s="3">
        <v>45919</v>
      </c>
      <c r="B1016" s="4">
        <v>25327.05</v>
      </c>
      <c r="C1016" s="7">
        <v>1014</v>
      </c>
      <c r="D1016" s="5">
        <f t="shared" si="15"/>
        <v>-3.8048819662613634E-3</v>
      </c>
    </row>
    <row r="1017" spans="1:4" x14ac:dyDescent="0.3">
      <c r="A1017" s="3">
        <v>45922</v>
      </c>
      <c r="B1017" s="4">
        <v>25202.35</v>
      </c>
      <c r="C1017" s="7">
        <v>1015</v>
      </c>
      <c r="D1017" s="5">
        <f t="shared" si="15"/>
        <v>-4.9357504010677988E-3</v>
      </c>
    </row>
    <row r="1018" spans="1:4" x14ac:dyDescent="0.3">
      <c r="A1018" s="3">
        <v>45923</v>
      </c>
      <c r="B1018" s="4">
        <v>25169.5</v>
      </c>
      <c r="C1018" s="7">
        <v>1016</v>
      </c>
      <c r="D1018" s="5">
        <f t="shared" si="15"/>
        <v>-1.3043001063899793E-3</v>
      </c>
    </row>
    <row r="1019" spans="1:4" x14ac:dyDescent="0.3">
      <c r="A1019" s="3">
        <v>45924</v>
      </c>
      <c r="B1019" s="4">
        <v>25056.9</v>
      </c>
      <c r="C1019" s="7">
        <v>1017</v>
      </c>
      <c r="D1019" s="5">
        <f t="shared" si="15"/>
        <v>-4.48370532782927E-3</v>
      </c>
    </row>
    <row r="1020" spans="1:4" x14ac:dyDescent="0.3">
      <c r="A1020" s="3">
        <v>45925</v>
      </c>
      <c r="B1020" s="4">
        <v>24890.85</v>
      </c>
      <c r="C1020" s="7">
        <v>1018</v>
      </c>
      <c r="D1020" s="5">
        <f t="shared" si="15"/>
        <v>-6.6489726459885842E-3</v>
      </c>
    </row>
    <row r="1021" spans="1:4" x14ac:dyDescent="0.3">
      <c r="A1021" s="3">
        <v>45926</v>
      </c>
      <c r="B1021" s="4">
        <v>24654.7</v>
      </c>
      <c r="C1021" s="7">
        <v>1019</v>
      </c>
      <c r="D1021" s="5">
        <f t="shared" si="15"/>
        <v>-9.5327143727411273E-3</v>
      </c>
    </row>
    <row r="1022" spans="1:4" x14ac:dyDescent="0.3">
      <c r="A1022" s="3">
        <v>45929</v>
      </c>
      <c r="B1022" s="4">
        <v>24634.9</v>
      </c>
      <c r="C1022" s="7">
        <v>1020</v>
      </c>
      <c r="D1022" s="5">
        <f t="shared" si="15"/>
        <v>-8.0341496238696723E-4</v>
      </c>
    </row>
    <row r="1023" spans="1:4" x14ac:dyDescent="0.3">
      <c r="A1023" s="3">
        <v>45930</v>
      </c>
      <c r="B1023" s="4">
        <v>24611.1</v>
      </c>
      <c r="C1023" s="7">
        <v>1021</v>
      </c>
      <c r="D1023" s="5">
        <f t="shared" si="15"/>
        <v>-9.6657604081426692E-4</v>
      </c>
    </row>
    <row r="1024" spans="1:4" x14ac:dyDescent="0.3">
      <c r="A1024" s="3">
        <v>45931</v>
      </c>
      <c r="B1024" s="4">
        <v>24836.3</v>
      </c>
      <c r="C1024" s="7">
        <v>1022</v>
      </c>
      <c r="D1024" s="5">
        <f t="shared" si="15"/>
        <v>9.1087319879058007E-3</v>
      </c>
    </row>
    <row r="1025" spans="1:4" x14ac:dyDescent="0.3">
      <c r="A1025" s="3">
        <v>45933</v>
      </c>
      <c r="B1025" s="4">
        <v>24894.25</v>
      </c>
      <c r="C1025" s="7">
        <v>1023</v>
      </c>
      <c r="D1025" s="5">
        <f t="shared" si="15"/>
        <v>2.3305604393949906E-3</v>
      </c>
    </row>
    <row r="1026" spans="1:4" x14ac:dyDescent="0.3">
      <c r="A1026" s="3">
        <v>45936</v>
      </c>
      <c r="B1026" s="4">
        <v>25077.65</v>
      </c>
      <c r="C1026" s="7">
        <v>1024</v>
      </c>
      <c r="D1026" s="5">
        <f t="shared" si="15"/>
        <v>7.3401581061951155E-3</v>
      </c>
    </row>
    <row r="1027" spans="1:4" x14ac:dyDescent="0.3">
      <c r="A1027" s="3">
        <v>45937</v>
      </c>
      <c r="B1027" s="4">
        <v>25108.3</v>
      </c>
      <c r="C1027" s="7">
        <v>1025</v>
      </c>
      <c r="D1027" s="5">
        <f t="shared" ref="D1027:D1090" si="16">LN(B1027/B1026)</f>
        <v>1.2214575517932756E-3</v>
      </c>
    </row>
    <row r="1028" spans="1:4" x14ac:dyDescent="0.3">
      <c r="A1028" s="3">
        <v>45938</v>
      </c>
      <c r="B1028" s="4">
        <v>25046.15</v>
      </c>
      <c r="C1028" s="7">
        <v>1026</v>
      </c>
      <c r="D1028" s="5">
        <f t="shared" si="16"/>
        <v>-2.4783456627061593E-3</v>
      </c>
    </row>
    <row r="1029" spans="1:4" x14ac:dyDescent="0.3">
      <c r="A1029" s="3">
        <v>45939</v>
      </c>
      <c r="B1029" s="4">
        <v>25181.8</v>
      </c>
      <c r="C1029" s="7">
        <v>1027</v>
      </c>
      <c r="D1029" s="5">
        <f t="shared" si="16"/>
        <v>5.401388262863396E-3</v>
      </c>
    </row>
    <row r="1030" spans="1:4" x14ac:dyDescent="0.3">
      <c r="A1030" s="3">
        <v>45940</v>
      </c>
      <c r="B1030" s="4">
        <v>25285.35</v>
      </c>
      <c r="C1030" s="7">
        <v>1028</v>
      </c>
      <c r="D1030" s="5">
        <f t="shared" si="16"/>
        <v>4.1036652680295424E-3</v>
      </c>
    </row>
    <row r="1031" spans="1:4" x14ac:dyDescent="0.3">
      <c r="A1031" s="3">
        <v>45943</v>
      </c>
      <c r="B1031" s="4">
        <v>25227.35</v>
      </c>
      <c r="C1031" s="7">
        <v>1029</v>
      </c>
      <c r="D1031" s="5">
        <f t="shared" si="16"/>
        <v>-2.2964531885856635E-3</v>
      </c>
    </row>
    <row r="1032" spans="1:4" x14ac:dyDescent="0.3">
      <c r="A1032" s="3">
        <v>45944</v>
      </c>
      <c r="B1032" s="4">
        <v>25145.5</v>
      </c>
      <c r="C1032" s="7">
        <v>1030</v>
      </c>
      <c r="D1032" s="5">
        <f t="shared" si="16"/>
        <v>-3.2497693513395339E-3</v>
      </c>
    </row>
    <row r="1033" spans="1:4" x14ac:dyDescent="0.3">
      <c r="A1033" s="3">
        <v>45945</v>
      </c>
      <c r="B1033" s="4">
        <v>25323.55</v>
      </c>
      <c r="C1033" s="7">
        <v>1031</v>
      </c>
      <c r="D1033" s="5">
        <f t="shared" si="16"/>
        <v>7.0558387242180077E-3</v>
      </c>
    </row>
    <row r="1034" spans="1:4" x14ac:dyDescent="0.3">
      <c r="A1034" s="3">
        <v>45946</v>
      </c>
      <c r="B1034" s="4">
        <v>25585.3</v>
      </c>
      <c r="C1034" s="7">
        <v>1032</v>
      </c>
      <c r="D1034" s="5">
        <f t="shared" si="16"/>
        <v>1.0283174989422342E-2</v>
      </c>
    </row>
    <row r="1035" spans="1:4" x14ac:dyDescent="0.3">
      <c r="A1035" s="3">
        <v>45947</v>
      </c>
      <c r="B1035" s="4">
        <v>25709.85</v>
      </c>
      <c r="C1035" s="7">
        <v>1033</v>
      </c>
      <c r="D1035" s="5">
        <f t="shared" si="16"/>
        <v>4.8562191462695678E-3</v>
      </c>
    </row>
    <row r="1036" spans="1:4" x14ac:dyDescent="0.3">
      <c r="A1036" s="3">
        <v>45950</v>
      </c>
      <c r="B1036" s="4">
        <v>25843.15</v>
      </c>
      <c r="C1036" s="7">
        <v>1034</v>
      </c>
      <c r="D1036" s="5">
        <f t="shared" si="16"/>
        <v>5.1713885544162376E-3</v>
      </c>
    </row>
    <row r="1037" spans="1:4" x14ac:dyDescent="0.3">
      <c r="A1037" s="3">
        <v>45951</v>
      </c>
      <c r="B1037" s="4">
        <v>25868.6</v>
      </c>
      <c r="C1037" s="7">
        <v>1035</v>
      </c>
      <c r="D1037" s="5">
        <f t="shared" si="16"/>
        <v>9.8430248656327583E-4</v>
      </c>
    </row>
    <row r="1038" spans="1:4" x14ac:dyDescent="0.3">
      <c r="A1038" s="3">
        <v>45953</v>
      </c>
      <c r="B1038" s="4">
        <v>25891.4</v>
      </c>
      <c r="C1038" s="7">
        <v>1036</v>
      </c>
      <c r="D1038" s="5">
        <f t="shared" si="16"/>
        <v>8.8098923781576393E-4</v>
      </c>
    </row>
    <row r="1039" spans="1:4" x14ac:dyDescent="0.3">
      <c r="A1039" s="3">
        <v>45954</v>
      </c>
      <c r="B1039" s="4">
        <v>25795.15</v>
      </c>
      <c r="C1039" s="7">
        <v>1037</v>
      </c>
      <c r="D1039" s="5">
        <f t="shared" si="16"/>
        <v>-3.7243774737084727E-3</v>
      </c>
    </row>
    <row r="1040" spans="1:4" x14ac:dyDescent="0.3">
      <c r="A1040" s="3">
        <v>45957</v>
      </c>
      <c r="B1040" s="4">
        <v>25966.05</v>
      </c>
      <c r="C1040" s="7">
        <v>1038</v>
      </c>
      <c r="D1040" s="5">
        <f t="shared" si="16"/>
        <v>6.603425771068816E-3</v>
      </c>
    </row>
    <row r="1041" spans="1:4" x14ac:dyDescent="0.3">
      <c r="A1041" s="3">
        <v>45958</v>
      </c>
      <c r="B1041" s="4">
        <v>25936.2</v>
      </c>
      <c r="C1041" s="7">
        <v>1039</v>
      </c>
      <c r="D1041" s="5">
        <f t="shared" si="16"/>
        <v>-1.1502392783005436E-3</v>
      </c>
    </row>
    <row r="1042" spans="1:4" x14ac:dyDescent="0.3">
      <c r="A1042" s="3">
        <v>45959</v>
      </c>
      <c r="B1042" s="4">
        <v>26053.9</v>
      </c>
      <c r="C1042" s="7">
        <v>1040</v>
      </c>
      <c r="D1042" s="5">
        <f t="shared" si="16"/>
        <v>4.5277928328536733E-3</v>
      </c>
    </row>
    <row r="1043" spans="1:4" x14ac:dyDescent="0.3">
      <c r="A1043" s="3">
        <v>45960</v>
      </c>
      <c r="B1043" s="4">
        <v>25877.85</v>
      </c>
      <c r="C1043" s="7">
        <v>1041</v>
      </c>
      <c r="D1043" s="5">
        <f t="shared" si="16"/>
        <v>-6.7800786382074861E-3</v>
      </c>
    </row>
    <row r="1044" spans="1:4" x14ac:dyDescent="0.3">
      <c r="A1044" s="3">
        <v>45961</v>
      </c>
      <c r="B1044" s="4">
        <v>25722.1</v>
      </c>
      <c r="C1044" s="7">
        <v>1042</v>
      </c>
      <c r="D1044" s="5">
        <f t="shared" si="16"/>
        <v>-6.0368458886522298E-3</v>
      </c>
    </row>
    <row r="1045" spans="1:4" x14ac:dyDescent="0.3">
      <c r="A1045" s="3">
        <v>45964</v>
      </c>
      <c r="B1045" s="4">
        <v>25763.35</v>
      </c>
      <c r="C1045" s="7">
        <v>1043</v>
      </c>
      <c r="D1045" s="5">
        <f t="shared" si="16"/>
        <v>1.6023948057699113E-3</v>
      </c>
    </row>
    <row r="1046" spans="1:4" x14ac:dyDescent="0.3">
      <c r="A1046" s="3">
        <v>45965</v>
      </c>
      <c r="B1046" s="4">
        <v>25597.65</v>
      </c>
      <c r="C1046" s="7">
        <v>1044</v>
      </c>
      <c r="D1046" s="5">
        <f t="shared" si="16"/>
        <v>-6.4523889677539662E-3</v>
      </c>
    </row>
    <row r="1047" spans="1:4" x14ac:dyDescent="0.3">
      <c r="A1047" s="3">
        <v>45967</v>
      </c>
      <c r="B1047" s="4">
        <v>25509.7</v>
      </c>
      <c r="C1047" s="7">
        <v>1045</v>
      </c>
      <c r="D1047" s="5">
        <f t="shared" si="16"/>
        <v>-3.4417784064369639E-3</v>
      </c>
    </row>
    <row r="1048" spans="1:4" x14ac:dyDescent="0.3">
      <c r="A1048" s="3">
        <v>45968</v>
      </c>
      <c r="B1048" s="4">
        <v>25492.3</v>
      </c>
      <c r="C1048" s="7">
        <v>1046</v>
      </c>
      <c r="D1048" s="5">
        <f t="shared" si="16"/>
        <v>-6.8232620975946482E-4</v>
      </c>
    </row>
    <row r="1049" spans="1:4" x14ac:dyDescent="0.3">
      <c r="A1049" s="3">
        <v>45971</v>
      </c>
      <c r="B1049" s="4">
        <v>25574.35</v>
      </c>
      <c r="C1049" s="7">
        <v>1047</v>
      </c>
      <c r="D1049" s="5">
        <f t="shared" si="16"/>
        <v>3.2134502892125225E-3</v>
      </c>
    </row>
    <row r="1050" spans="1:4" x14ac:dyDescent="0.3">
      <c r="A1050" s="3">
        <v>45972</v>
      </c>
      <c r="B1050" s="4">
        <v>25694.95</v>
      </c>
      <c r="C1050" s="7">
        <v>1048</v>
      </c>
      <c r="D1050" s="5">
        <f t="shared" si="16"/>
        <v>4.7045784684853244E-3</v>
      </c>
    </row>
    <row r="1051" spans="1:4" x14ac:dyDescent="0.3">
      <c r="A1051" s="3">
        <v>45973</v>
      </c>
      <c r="B1051" s="4">
        <v>25875.8</v>
      </c>
      <c r="C1051" s="7">
        <v>1049</v>
      </c>
      <c r="D1051" s="5">
        <f t="shared" si="16"/>
        <v>7.0136944435542489E-3</v>
      </c>
    </row>
    <row r="1052" spans="1:4" x14ac:dyDescent="0.3">
      <c r="A1052" s="3">
        <v>45974</v>
      </c>
      <c r="B1052" s="4">
        <v>25879.15</v>
      </c>
      <c r="C1052" s="7">
        <v>1050</v>
      </c>
      <c r="D1052" s="5">
        <f t="shared" si="16"/>
        <v>1.2945621644613778E-4</v>
      </c>
    </row>
    <row r="1053" spans="1:4" x14ac:dyDescent="0.3">
      <c r="A1053" s="3">
        <v>45975</v>
      </c>
      <c r="B1053" s="4">
        <v>25910.05</v>
      </c>
      <c r="C1053" s="7">
        <v>1051</v>
      </c>
      <c r="D1053" s="5">
        <f t="shared" si="16"/>
        <v>1.193299130579461E-3</v>
      </c>
    </row>
    <row r="1054" spans="1:4" x14ac:dyDescent="0.3">
      <c r="A1054" s="3">
        <v>45978</v>
      </c>
      <c r="B1054" s="4">
        <v>26013.45</v>
      </c>
      <c r="C1054" s="7">
        <v>1052</v>
      </c>
      <c r="D1054" s="5">
        <f t="shared" si="16"/>
        <v>3.9827876272855566E-3</v>
      </c>
    </row>
    <row r="1055" spans="1:4" x14ac:dyDescent="0.3">
      <c r="A1055" s="3">
        <v>45979</v>
      </c>
      <c r="B1055" s="4">
        <v>25910.05</v>
      </c>
      <c r="C1055" s="7">
        <v>1053</v>
      </c>
      <c r="D1055" s="5">
        <f t="shared" si="16"/>
        <v>-3.9827876272854204E-3</v>
      </c>
    </row>
    <row r="1056" spans="1:4" x14ac:dyDescent="0.3">
      <c r="A1056" s="3">
        <v>45980</v>
      </c>
      <c r="B1056" s="4">
        <v>26052.65</v>
      </c>
      <c r="C1056" s="7">
        <v>1054</v>
      </c>
      <c r="D1056" s="5">
        <f t="shared" si="16"/>
        <v>5.488566143699687E-3</v>
      </c>
    </row>
    <row r="1057" spans="1:4" x14ac:dyDescent="0.3">
      <c r="A1057" s="3">
        <v>45981</v>
      </c>
      <c r="B1057" s="4">
        <v>26192.15</v>
      </c>
      <c r="C1057" s="7">
        <v>1055</v>
      </c>
      <c r="D1057" s="5">
        <f t="shared" si="16"/>
        <v>5.3402570791968307E-3</v>
      </c>
    </row>
    <row r="1058" spans="1:4" x14ac:dyDescent="0.3">
      <c r="A1058" s="3">
        <v>45982</v>
      </c>
      <c r="B1058" s="4">
        <v>26068.15</v>
      </c>
      <c r="C1058" s="7">
        <v>1056</v>
      </c>
      <c r="D1058" s="5">
        <f t="shared" si="16"/>
        <v>-4.7454849169532316E-3</v>
      </c>
    </row>
    <row r="1059" spans="1:4" x14ac:dyDescent="0.3">
      <c r="A1059" s="3">
        <v>45985</v>
      </c>
      <c r="B1059" s="4">
        <v>25959.5</v>
      </c>
      <c r="C1059" s="7">
        <v>1057</v>
      </c>
      <c r="D1059" s="5">
        <f t="shared" si="16"/>
        <v>-4.1766313851615104E-3</v>
      </c>
    </row>
    <row r="1060" spans="1:4" x14ac:dyDescent="0.3">
      <c r="A1060" s="3">
        <v>45986</v>
      </c>
      <c r="B1060" s="4">
        <v>25884.799999999999</v>
      </c>
      <c r="C1060" s="7">
        <v>1058</v>
      </c>
      <c r="D1060" s="5">
        <f t="shared" si="16"/>
        <v>-2.8817074082925676E-3</v>
      </c>
    </row>
    <row r="1061" spans="1:4" x14ac:dyDescent="0.3">
      <c r="A1061" s="3">
        <v>45987</v>
      </c>
      <c r="B1061" s="4">
        <v>26205.3</v>
      </c>
      <c r="C1061" s="7">
        <v>1059</v>
      </c>
      <c r="D1061" s="5">
        <f t="shared" si="16"/>
        <v>1.2305756544011975E-2</v>
      </c>
    </row>
    <row r="1062" spans="1:4" x14ac:dyDescent="0.3">
      <c r="A1062" s="3">
        <v>45988</v>
      </c>
      <c r="B1062" s="4">
        <v>26215.55</v>
      </c>
      <c r="C1062" s="7">
        <v>1060</v>
      </c>
      <c r="D1062" s="5">
        <f t="shared" si="16"/>
        <v>3.9106577366173836E-4</v>
      </c>
    </row>
    <row r="1063" spans="1:4" x14ac:dyDescent="0.3">
      <c r="A1063" s="3">
        <v>45989</v>
      </c>
      <c r="B1063" s="4">
        <v>26202.95</v>
      </c>
      <c r="C1063" s="7">
        <v>1061</v>
      </c>
      <c r="D1063" s="5">
        <f t="shared" si="16"/>
        <v>-4.8074631066023429E-4</v>
      </c>
    </row>
    <row r="1064" spans="1:4" x14ac:dyDescent="0.3">
      <c r="A1064" s="3">
        <v>45992</v>
      </c>
      <c r="B1064" s="4">
        <v>26175.75</v>
      </c>
      <c r="C1064" s="7">
        <v>1062</v>
      </c>
      <c r="D1064" s="5">
        <f t="shared" si="16"/>
        <v>-1.0385902072783048E-3</v>
      </c>
    </row>
    <row r="1065" spans="1:4" x14ac:dyDescent="0.3">
      <c r="A1065" s="3">
        <v>45993</v>
      </c>
      <c r="B1065" s="4">
        <v>26032.2</v>
      </c>
      <c r="C1065" s="7">
        <v>1063</v>
      </c>
      <c r="D1065" s="5">
        <f t="shared" si="16"/>
        <v>-5.4991763421880138E-3</v>
      </c>
    </row>
    <row r="1066" spans="1:4" x14ac:dyDescent="0.3">
      <c r="A1066" s="3">
        <v>45994</v>
      </c>
      <c r="B1066" s="4">
        <v>25986</v>
      </c>
      <c r="C1066" s="7">
        <v>1064</v>
      </c>
      <c r="D1066" s="5">
        <f t="shared" si="16"/>
        <v>-1.7763018384990476E-3</v>
      </c>
    </row>
    <row r="1067" spans="1:4" x14ac:dyDescent="0.3">
      <c r="A1067" s="3">
        <v>45995</v>
      </c>
      <c r="B1067" s="4">
        <v>26033.75</v>
      </c>
      <c r="C1067" s="7">
        <v>1065</v>
      </c>
      <c r="D1067" s="5">
        <f t="shared" si="16"/>
        <v>1.8358417105443499E-3</v>
      </c>
    </row>
    <row r="1068" spans="1:4" x14ac:dyDescent="0.3">
      <c r="A1068" s="3">
        <v>45996</v>
      </c>
      <c r="B1068" s="4">
        <v>26186.45</v>
      </c>
      <c r="C1068" s="7">
        <v>1066</v>
      </c>
      <c r="D1068" s="5">
        <f t="shared" si="16"/>
        <v>5.8483282420290989E-3</v>
      </c>
    </row>
    <row r="1069" spans="1:4" x14ac:dyDescent="0.3">
      <c r="A1069" s="3">
        <v>45999</v>
      </c>
      <c r="B1069" s="4">
        <v>25960.55</v>
      </c>
      <c r="C1069" s="7">
        <v>1067</v>
      </c>
      <c r="D1069" s="5">
        <f t="shared" si="16"/>
        <v>-8.6640233609803375E-3</v>
      </c>
    </row>
    <row r="1070" spans="1:4" x14ac:dyDescent="0.3">
      <c r="A1070" s="3">
        <v>46000</v>
      </c>
      <c r="B1070" s="4">
        <v>25839.65</v>
      </c>
      <c r="C1070" s="7">
        <v>1068</v>
      </c>
      <c r="D1070" s="5">
        <f t="shared" si="16"/>
        <v>-4.6679441211103243E-3</v>
      </c>
    </row>
    <row r="1071" spans="1:4" x14ac:dyDescent="0.3">
      <c r="A1071" s="3">
        <v>46001</v>
      </c>
      <c r="B1071" s="4">
        <v>25758</v>
      </c>
      <c r="C1071" s="7">
        <v>1069</v>
      </c>
      <c r="D1071" s="5">
        <f t="shared" si="16"/>
        <v>-3.1648754605488705E-3</v>
      </c>
    </row>
    <row r="1072" spans="1:4" x14ac:dyDescent="0.3">
      <c r="A1072" s="3">
        <v>46002</v>
      </c>
      <c r="B1072" s="4">
        <v>25898.55</v>
      </c>
      <c r="C1072" s="7">
        <v>1070</v>
      </c>
      <c r="D1072" s="5">
        <f t="shared" si="16"/>
        <v>5.441724111835208E-3</v>
      </c>
    </row>
    <row r="1073" spans="1:4" x14ac:dyDescent="0.3">
      <c r="A1073" s="3">
        <v>46003</v>
      </c>
      <c r="B1073" s="4">
        <v>26046.95</v>
      </c>
      <c r="C1073" s="7">
        <v>1071</v>
      </c>
      <c r="D1073" s="5">
        <f t="shared" si="16"/>
        <v>5.7136962287779947E-3</v>
      </c>
    </row>
    <row r="1074" spans="1:4" x14ac:dyDescent="0.3">
      <c r="A1074" s="3">
        <v>46006</v>
      </c>
      <c r="B1074" s="4">
        <v>26027.3</v>
      </c>
      <c r="C1074" s="7">
        <v>1072</v>
      </c>
      <c r="D1074" s="5">
        <f t="shared" si="16"/>
        <v>-7.5469165403843695E-4</v>
      </c>
    </row>
    <row r="1075" spans="1:4" x14ac:dyDescent="0.3">
      <c r="A1075" s="3">
        <v>46007</v>
      </c>
      <c r="B1075" s="4">
        <v>25860.1</v>
      </c>
      <c r="C1075" s="7">
        <v>1073</v>
      </c>
      <c r="D1075" s="5">
        <f t="shared" si="16"/>
        <v>-6.4447468447940094E-3</v>
      </c>
    </row>
    <row r="1076" spans="1:4" x14ac:dyDescent="0.3">
      <c r="A1076" s="3">
        <v>46008</v>
      </c>
      <c r="B1076" s="4">
        <v>25818.55</v>
      </c>
      <c r="C1076" s="7">
        <v>1074</v>
      </c>
      <c r="D1076" s="5">
        <f t="shared" si="16"/>
        <v>-1.6080144877245483E-3</v>
      </c>
    </row>
    <row r="1077" spans="1:4" x14ac:dyDescent="0.3">
      <c r="A1077" s="3">
        <v>46009</v>
      </c>
      <c r="B1077" s="4">
        <v>25815.55</v>
      </c>
      <c r="C1077" s="7">
        <v>1075</v>
      </c>
      <c r="D1077" s="5">
        <f t="shared" si="16"/>
        <v>-1.1620227730800423E-4</v>
      </c>
    </row>
    <row r="1078" spans="1:4" x14ac:dyDescent="0.3">
      <c r="A1078" s="3">
        <v>46010</v>
      </c>
      <c r="B1078" s="4">
        <v>25966.400000000001</v>
      </c>
      <c r="C1078" s="7">
        <v>1076</v>
      </c>
      <c r="D1078" s="5">
        <f t="shared" si="16"/>
        <v>5.8263710322537339E-3</v>
      </c>
    </row>
    <row r="1079" spans="1:4" x14ac:dyDescent="0.3">
      <c r="A1079" s="3">
        <v>46013</v>
      </c>
      <c r="B1079" s="4">
        <v>26172.400000000001</v>
      </c>
      <c r="C1079" s="7">
        <v>1077</v>
      </c>
      <c r="D1079" s="5">
        <f t="shared" si="16"/>
        <v>7.9020258203139574E-3</v>
      </c>
    </row>
    <row r="1080" spans="1:4" x14ac:dyDescent="0.3">
      <c r="A1080" s="3">
        <v>46014</v>
      </c>
      <c r="B1080" s="4">
        <v>26177.15</v>
      </c>
      <c r="C1080" s="7">
        <v>1078</v>
      </c>
      <c r="D1080" s="5">
        <f t="shared" si="16"/>
        <v>1.8147242958299996E-4</v>
      </c>
    </row>
    <row r="1081" spans="1:4" x14ac:dyDescent="0.3">
      <c r="A1081" s="3">
        <v>46015</v>
      </c>
      <c r="B1081" s="4">
        <v>26142.1</v>
      </c>
      <c r="C1081" s="7">
        <v>1079</v>
      </c>
      <c r="D1081" s="5">
        <f t="shared" si="16"/>
        <v>-1.3398512113031755E-3</v>
      </c>
    </row>
    <row r="1082" spans="1:4" x14ac:dyDescent="0.3">
      <c r="A1082" s="3">
        <v>46017</v>
      </c>
      <c r="B1082" s="4">
        <v>26042.3</v>
      </c>
      <c r="C1082" s="7">
        <v>1080</v>
      </c>
      <c r="D1082" s="5">
        <f t="shared" si="16"/>
        <v>-3.8249025253447363E-3</v>
      </c>
    </row>
    <row r="1083" spans="1:4" x14ac:dyDescent="0.3">
      <c r="A1083" s="3">
        <v>46020</v>
      </c>
      <c r="B1083" s="4">
        <v>25942.1</v>
      </c>
      <c r="C1083" s="7">
        <v>1081</v>
      </c>
      <c r="D1083" s="5">
        <f t="shared" si="16"/>
        <v>-3.8550074287673655E-3</v>
      </c>
    </row>
    <row r="1084" spans="1:4" x14ac:dyDescent="0.3">
      <c r="A1084" s="3">
        <v>46021</v>
      </c>
      <c r="B1084" s="4">
        <v>25938.85</v>
      </c>
      <c r="C1084" s="7">
        <v>1082</v>
      </c>
      <c r="D1084" s="5">
        <f t="shared" si="16"/>
        <v>-1.2528683473419944E-4</v>
      </c>
    </row>
    <row r="1085" spans="1:4" x14ac:dyDescent="0.3">
      <c r="A1085" s="3">
        <v>46022</v>
      </c>
      <c r="B1085" s="4">
        <v>26129.599999999999</v>
      </c>
      <c r="C1085" s="7">
        <v>1083</v>
      </c>
      <c r="D1085" s="5">
        <f t="shared" si="16"/>
        <v>7.3269265111137747E-3</v>
      </c>
    </row>
    <row r="1086" spans="1:4" x14ac:dyDescent="0.3">
      <c r="A1086" s="3">
        <v>46023</v>
      </c>
      <c r="B1086" s="4">
        <v>26146.55</v>
      </c>
      <c r="C1086" s="7">
        <v>1084</v>
      </c>
      <c r="D1086" s="5">
        <f t="shared" si="16"/>
        <v>6.4847930056033236E-4</v>
      </c>
    </row>
    <row r="1087" spans="1:4" x14ac:dyDescent="0.3">
      <c r="A1087" s="3">
        <v>46024</v>
      </c>
      <c r="B1087" s="4">
        <v>26328.55</v>
      </c>
      <c r="C1087" s="7">
        <v>1085</v>
      </c>
      <c r="D1087" s="5">
        <f t="shared" si="16"/>
        <v>6.9366510888350273E-3</v>
      </c>
    </row>
    <row r="1088" spans="1:4" x14ac:dyDescent="0.3">
      <c r="A1088" s="3">
        <v>46027</v>
      </c>
      <c r="B1088" s="4">
        <v>26250.3</v>
      </c>
      <c r="C1088" s="7">
        <v>1086</v>
      </c>
      <c r="D1088" s="5">
        <f t="shared" si="16"/>
        <v>-2.9764841859812588E-3</v>
      </c>
    </row>
    <row r="1089" spans="1:4" x14ac:dyDescent="0.3">
      <c r="A1089" s="3">
        <v>46028</v>
      </c>
      <c r="B1089" s="4">
        <v>26178.7</v>
      </c>
      <c r="C1089" s="7">
        <v>1087</v>
      </c>
      <c r="D1089" s="5">
        <f t="shared" si="16"/>
        <v>-2.7313145210397867E-3</v>
      </c>
    </row>
    <row r="1090" spans="1:4" x14ac:dyDescent="0.3">
      <c r="A1090" s="3">
        <v>46029</v>
      </c>
      <c r="B1090" s="4">
        <v>26140.75</v>
      </c>
      <c r="C1090" s="7">
        <v>1088</v>
      </c>
      <c r="D1090" s="5">
        <f t="shared" si="16"/>
        <v>-1.4507035779470466E-3</v>
      </c>
    </row>
    <row r="1091" spans="1:4" x14ac:dyDescent="0.3">
      <c r="A1091" s="3">
        <v>46030</v>
      </c>
      <c r="B1091" s="4">
        <v>25876.85</v>
      </c>
      <c r="C1091" s="7">
        <v>1089</v>
      </c>
      <c r="D1091" s="5">
        <f t="shared" ref="D1091:D1154" si="17">LN(B1091/B1090)</f>
        <v>-1.0146652830525118E-2</v>
      </c>
    </row>
    <row r="1092" spans="1:4" x14ac:dyDescent="0.3">
      <c r="A1092" s="3">
        <v>46031</v>
      </c>
      <c r="B1092" s="4">
        <v>25683.3</v>
      </c>
      <c r="C1092" s="7">
        <v>1090</v>
      </c>
      <c r="D1092" s="5">
        <f t="shared" si="17"/>
        <v>-7.5077713756043106E-3</v>
      </c>
    </row>
    <row r="1093" spans="1:4" x14ac:dyDescent="0.3">
      <c r="A1093" s="3">
        <v>46034</v>
      </c>
      <c r="B1093" s="4">
        <v>25790.25</v>
      </c>
      <c r="C1093" s="7">
        <v>1091</v>
      </c>
      <c r="D1093" s="5">
        <f t="shared" si="17"/>
        <v>4.1555382873515179E-3</v>
      </c>
    </row>
    <row r="1094" spans="1:4" x14ac:dyDescent="0.3">
      <c r="A1094" s="3">
        <v>46035</v>
      </c>
      <c r="B1094" s="4">
        <v>25732.3</v>
      </c>
      <c r="C1094" s="7">
        <v>1092</v>
      </c>
      <c r="D1094" s="5">
        <f t="shared" si="17"/>
        <v>-2.2495014100358751E-3</v>
      </c>
    </row>
    <row r="1095" spans="1:4" x14ac:dyDescent="0.3">
      <c r="A1095" s="3">
        <v>46036</v>
      </c>
      <c r="B1095" s="4">
        <v>25665.599999999999</v>
      </c>
      <c r="C1095" s="7">
        <v>1093</v>
      </c>
      <c r="D1095" s="5">
        <f t="shared" si="17"/>
        <v>-2.5954382355152226E-3</v>
      </c>
    </row>
    <row r="1096" spans="1:4" x14ac:dyDescent="0.3">
      <c r="A1096" s="3">
        <v>46038</v>
      </c>
      <c r="B1096" s="4">
        <v>25694.35</v>
      </c>
      <c r="C1096" s="7">
        <v>1094</v>
      </c>
      <c r="D1096" s="5">
        <f t="shared" si="17"/>
        <v>1.1195494934444548E-3</v>
      </c>
    </row>
    <row r="1097" spans="1:4" x14ac:dyDescent="0.3">
      <c r="A1097" s="3">
        <v>46041</v>
      </c>
      <c r="B1097" s="4">
        <v>25585.5</v>
      </c>
      <c r="C1097" s="7">
        <v>1095</v>
      </c>
      <c r="D1097" s="5">
        <f t="shared" si="17"/>
        <v>-4.245338606983875E-3</v>
      </c>
    </row>
    <row r="1098" spans="1:4" x14ac:dyDescent="0.3">
      <c r="A1098" s="3">
        <v>46042</v>
      </c>
      <c r="B1098" s="4">
        <v>25232.5</v>
      </c>
      <c r="C1098" s="7">
        <v>1096</v>
      </c>
      <c r="D1098" s="5">
        <f t="shared" si="17"/>
        <v>-1.3892938636022806E-2</v>
      </c>
    </row>
    <row r="1099" spans="1:4" x14ac:dyDescent="0.3">
      <c r="A1099" s="3">
        <v>46043</v>
      </c>
      <c r="B1099" s="4">
        <v>25157.5</v>
      </c>
      <c r="C1099" s="7">
        <v>1097</v>
      </c>
      <c r="D1099" s="5">
        <f t="shared" si="17"/>
        <v>-2.9767833055262707E-3</v>
      </c>
    </row>
    <row r="1100" spans="1:4" x14ac:dyDescent="0.3">
      <c r="A1100" s="3">
        <v>46044</v>
      </c>
      <c r="B1100" s="4">
        <v>25289.9</v>
      </c>
      <c r="C1100" s="7">
        <v>1098</v>
      </c>
      <c r="D1100" s="5">
        <f t="shared" si="17"/>
        <v>5.2490437166370345E-3</v>
      </c>
    </row>
    <row r="1101" spans="1:4" x14ac:dyDescent="0.3">
      <c r="A1101" s="3">
        <v>46045</v>
      </c>
      <c r="B1101" s="4">
        <v>25048.65</v>
      </c>
      <c r="C1101" s="7">
        <v>1099</v>
      </c>
      <c r="D1101" s="5">
        <f t="shared" si="17"/>
        <v>-9.5851726789207992E-3</v>
      </c>
    </row>
    <row r="1102" spans="1:4" x14ac:dyDescent="0.3">
      <c r="A1102" s="3">
        <v>46049</v>
      </c>
      <c r="B1102" s="4">
        <v>25175.4</v>
      </c>
      <c r="C1102" s="7">
        <v>1100</v>
      </c>
      <c r="D1102" s="5">
        <f t="shared" si="17"/>
        <v>5.0473933938835411E-3</v>
      </c>
    </row>
    <row r="1103" spans="1:4" x14ac:dyDescent="0.3">
      <c r="A1103" s="3">
        <v>46050</v>
      </c>
      <c r="B1103" s="4">
        <v>25342.75</v>
      </c>
      <c r="C1103" s="7">
        <v>1101</v>
      </c>
      <c r="D1103" s="5">
        <f t="shared" si="17"/>
        <v>6.6253658203434609E-3</v>
      </c>
    </row>
    <row r="1104" spans="1:4" x14ac:dyDescent="0.3">
      <c r="A1104" s="3">
        <v>46051</v>
      </c>
      <c r="B1104" s="4">
        <v>25418.9</v>
      </c>
      <c r="C1104" s="7">
        <v>1102</v>
      </c>
      <c r="D1104" s="5">
        <f t="shared" si="17"/>
        <v>3.0002987343345821E-3</v>
      </c>
    </row>
    <row r="1105" spans="1:4" x14ac:dyDescent="0.3">
      <c r="A1105" s="3">
        <v>46052</v>
      </c>
      <c r="B1105" s="4">
        <v>25320.65</v>
      </c>
      <c r="C1105" s="7">
        <v>1103</v>
      </c>
      <c r="D1105" s="5">
        <f t="shared" si="17"/>
        <v>-3.8727234591551612E-3</v>
      </c>
    </row>
    <row r="1106" spans="1:4" x14ac:dyDescent="0.3">
      <c r="A1106" s="3">
        <v>46054</v>
      </c>
      <c r="B1106" s="4">
        <v>24825.45</v>
      </c>
      <c r="C1106" s="7">
        <v>1104</v>
      </c>
      <c r="D1106" s="5">
        <f t="shared" si="17"/>
        <v>-1.9750931697309907E-2</v>
      </c>
    </row>
    <row r="1107" spans="1:4" x14ac:dyDescent="0.3">
      <c r="A1107" s="3">
        <v>46055</v>
      </c>
      <c r="B1107" s="4">
        <v>25088.400000000001</v>
      </c>
      <c r="C1107" s="7">
        <v>1105</v>
      </c>
      <c r="D1107" s="5">
        <f t="shared" si="17"/>
        <v>1.0536251263282424E-2</v>
      </c>
    </row>
    <row r="1108" spans="1:4" x14ac:dyDescent="0.3">
      <c r="A1108" s="3">
        <v>46056</v>
      </c>
      <c r="B1108" s="4">
        <v>25727.55</v>
      </c>
      <c r="C1108" s="7">
        <v>1106</v>
      </c>
      <c r="D1108" s="5">
        <f t="shared" si="17"/>
        <v>2.5156814253504294E-2</v>
      </c>
    </row>
    <row r="1109" spans="1:4" x14ac:dyDescent="0.3">
      <c r="A1109" s="3">
        <v>46057</v>
      </c>
      <c r="B1109" s="4">
        <v>25776</v>
      </c>
      <c r="C1109" s="7">
        <v>1107</v>
      </c>
      <c r="D1109" s="5">
        <f t="shared" si="17"/>
        <v>1.8814242626680484E-3</v>
      </c>
    </row>
    <row r="1110" spans="1:4" x14ac:dyDescent="0.3">
      <c r="A1110" s="3">
        <v>46058</v>
      </c>
      <c r="B1110" s="4">
        <v>25642.799999999999</v>
      </c>
      <c r="C1110" s="7">
        <v>1108</v>
      </c>
      <c r="D1110" s="5">
        <f t="shared" si="17"/>
        <v>-5.180995976337489E-3</v>
      </c>
    </row>
    <row r="1111" spans="1:4" x14ac:dyDescent="0.3">
      <c r="A1111" s="3">
        <v>46059</v>
      </c>
      <c r="B1111" s="4">
        <v>25693.7</v>
      </c>
      <c r="C1111" s="7">
        <v>1109</v>
      </c>
      <c r="D1111" s="5">
        <f t="shared" si="17"/>
        <v>1.9829952053364128E-3</v>
      </c>
    </row>
    <row r="1112" spans="1:4" x14ac:dyDescent="0.3">
      <c r="A1112" s="3">
        <v>46062</v>
      </c>
      <c r="B1112" s="4">
        <v>25867.3</v>
      </c>
      <c r="C1112" s="7">
        <v>1110</v>
      </c>
      <c r="D1112" s="5">
        <f t="shared" si="17"/>
        <v>6.7337970937869094E-3</v>
      </c>
    </row>
    <row r="1113" spans="1:4" x14ac:dyDescent="0.3">
      <c r="A1113" s="3">
        <v>46063</v>
      </c>
      <c r="B1113" s="4">
        <v>25935.15</v>
      </c>
      <c r="C1113" s="7">
        <v>1111</v>
      </c>
      <c r="D1113" s="5">
        <f t="shared" si="17"/>
        <v>2.6195687192277595E-3</v>
      </c>
    </row>
    <row r="1114" spans="1:4" x14ac:dyDescent="0.3">
      <c r="A1114" s="3">
        <v>46064</v>
      </c>
      <c r="B1114" s="4">
        <v>25953.85</v>
      </c>
      <c r="C1114" s="7">
        <v>1112</v>
      </c>
      <c r="D1114" s="5">
        <f t="shared" si="17"/>
        <v>7.2076936574473247E-4</v>
      </c>
    </row>
    <row r="1115" spans="1:4" x14ac:dyDescent="0.3">
      <c r="A1115" s="3">
        <v>46065</v>
      </c>
      <c r="B1115" s="4">
        <v>25807.200000000001</v>
      </c>
      <c r="C1115" s="7">
        <v>1113</v>
      </c>
      <c r="D1115" s="5">
        <f t="shared" si="17"/>
        <v>-5.6664380800878688E-3</v>
      </c>
    </row>
    <row r="1116" spans="1:4" x14ac:dyDescent="0.3">
      <c r="A1116" s="3">
        <v>46066</v>
      </c>
      <c r="B1116" s="4">
        <v>25471.1</v>
      </c>
      <c r="C1116" s="7">
        <v>1114</v>
      </c>
      <c r="D1116" s="5">
        <f t="shared" si="17"/>
        <v>-1.3109046639111787E-2</v>
      </c>
    </row>
    <row r="1117" spans="1:4" x14ac:dyDescent="0.3">
      <c r="A1117" s="3">
        <v>46069</v>
      </c>
      <c r="B1117" s="4">
        <v>25682.75</v>
      </c>
      <c r="C1117" s="7">
        <v>1115</v>
      </c>
      <c r="D1117" s="5">
        <f t="shared" si="17"/>
        <v>8.2750841925694364E-3</v>
      </c>
    </row>
    <row r="1118" spans="1:4" x14ac:dyDescent="0.3">
      <c r="A1118" s="3">
        <v>46070</v>
      </c>
      <c r="B1118" s="4">
        <v>25725.4</v>
      </c>
      <c r="C1118" s="7">
        <v>1116</v>
      </c>
      <c r="D1118" s="5">
        <f t="shared" si="17"/>
        <v>1.6592703602544172E-3</v>
      </c>
    </row>
    <row r="1119" spans="1:4" x14ac:dyDescent="0.3">
      <c r="A1119" s="3">
        <v>46071</v>
      </c>
      <c r="B1119" s="4">
        <v>25819.35</v>
      </c>
      <c r="C1119" s="7">
        <v>1117</v>
      </c>
      <c r="D1119" s="5">
        <f t="shared" si="17"/>
        <v>3.6453801421163674E-3</v>
      </c>
    </row>
    <row r="1120" spans="1:4" x14ac:dyDescent="0.3">
      <c r="A1120" s="3">
        <v>46072</v>
      </c>
      <c r="B1120" s="4">
        <v>25454.35</v>
      </c>
      <c r="C1120" s="7">
        <v>1118</v>
      </c>
      <c r="D1120" s="5">
        <f t="shared" si="17"/>
        <v>-1.4237559048147537E-2</v>
      </c>
    </row>
    <row r="1121" spans="1:4" x14ac:dyDescent="0.3">
      <c r="A1121" s="3">
        <v>46073</v>
      </c>
      <c r="B1121" s="4">
        <v>25571.25</v>
      </c>
      <c r="C1121" s="7">
        <v>1119</v>
      </c>
      <c r="D1121" s="5">
        <f t="shared" si="17"/>
        <v>4.5820217508651916E-3</v>
      </c>
    </row>
    <row r="1122" spans="1:4" x14ac:dyDescent="0.3">
      <c r="A1122" s="3">
        <v>46076</v>
      </c>
      <c r="B1122" s="4">
        <v>25713</v>
      </c>
      <c r="C1122" s="7">
        <v>1120</v>
      </c>
      <c r="D1122" s="5">
        <f t="shared" si="17"/>
        <v>5.5280270640200302E-3</v>
      </c>
    </row>
    <row r="1123" spans="1:4" x14ac:dyDescent="0.3">
      <c r="A1123" s="3">
        <v>46077</v>
      </c>
      <c r="B1123" s="4">
        <v>25424.65</v>
      </c>
      <c r="C1123" s="7">
        <v>1121</v>
      </c>
      <c r="D1123" s="5">
        <f t="shared" si="17"/>
        <v>-1.1277524723351435E-2</v>
      </c>
    </row>
    <row r="1124" spans="1:4" x14ac:dyDescent="0.3">
      <c r="A1124" s="3">
        <v>46078</v>
      </c>
      <c r="B1124" s="4">
        <v>25482.5</v>
      </c>
      <c r="C1124" s="7">
        <v>1122</v>
      </c>
      <c r="D1124" s="5">
        <f t="shared" si="17"/>
        <v>2.2727661989268987E-3</v>
      </c>
    </row>
    <row r="1125" spans="1:4" x14ac:dyDescent="0.3">
      <c r="A1125" s="3">
        <v>46079</v>
      </c>
      <c r="B1125" s="4">
        <v>25496.55</v>
      </c>
      <c r="C1125" s="7">
        <v>1123</v>
      </c>
      <c r="D1125" s="5">
        <f t="shared" si="17"/>
        <v>5.5120683322783769E-4</v>
      </c>
    </row>
    <row r="1126" spans="1:4" x14ac:dyDescent="0.3">
      <c r="A1126" s="3">
        <v>46080</v>
      </c>
      <c r="B1126" s="4">
        <v>25178.65</v>
      </c>
      <c r="C1126" s="7">
        <v>1124</v>
      </c>
      <c r="D1126" s="5">
        <f t="shared" si="17"/>
        <v>-1.2546735694086916E-2</v>
      </c>
    </row>
    <row r="1127" spans="1:4" x14ac:dyDescent="0.3">
      <c r="A1127" s="3">
        <v>46083</v>
      </c>
      <c r="B1127" s="4">
        <v>24865.7</v>
      </c>
      <c r="C1127" s="7">
        <v>1125</v>
      </c>
      <c r="D1127" s="5">
        <f t="shared" si="17"/>
        <v>-1.2507069408217645E-2</v>
      </c>
    </row>
    <row r="1128" spans="1:4" x14ac:dyDescent="0.3">
      <c r="A1128" s="3">
        <v>46085</v>
      </c>
      <c r="B1128" s="4">
        <v>24480.5</v>
      </c>
      <c r="C1128" s="7">
        <v>1126</v>
      </c>
      <c r="D1128" s="5">
        <f t="shared" si="17"/>
        <v>-1.56124615192116E-2</v>
      </c>
    </row>
    <row r="1129" spans="1:4" x14ac:dyDescent="0.3">
      <c r="A1129" s="3">
        <v>46086</v>
      </c>
      <c r="B1129" s="4">
        <v>24765.9</v>
      </c>
      <c r="C1129" s="7">
        <v>1127</v>
      </c>
      <c r="D1129" s="5">
        <f t="shared" si="17"/>
        <v>1.159082471886308E-2</v>
      </c>
    </row>
    <row r="1130" spans="1:4" x14ac:dyDescent="0.3">
      <c r="A1130" s="3">
        <v>46087</v>
      </c>
      <c r="B1130" s="4">
        <v>24450.45</v>
      </c>
      <c r="C1130" s="7">
        <v>1128</v>
      </c>
      <c r="D1130" s="5">
        <f t="shared" si="17"/>
        <v>-1.2819086331517163E-2</v>
      </c>
    </row>
    <row r="1131" spans="1:4" x14ac:dyDescent="0.3">
      <c r="A1131" s="3">
        <v>46090</v>
      </c>
      <c r="B1131" s="4">
        <v>24028.05</v>
      </c>
      <c r="C1131" s="7">
        <v>1129</v>
      </c>
      <c r="D1131" s="5">
        <f t="shared" si="17"/>
        <v>-1.7426722768128327E-2</v>
      </c>
    </row>
    <row r="1132" spans="1:4" x14ac:dyDescent="0.3">
      <c r="A1132" s="3">
        <v>46091</v>
      </c>
      <c r="B1132" s="4">
        <v>24261.599999999999</v>
      </c>
      <c r="C1132" s="7">
        <v>1130</v>
      </c>
      <c r="D1132" s="5">
        <f t="shared" si="17"/>
        <v>9.6729556344604898E-3</v>
      </c>
    </row>
    <row r="1133" spans="1:4" x14ac:dyDescent="0.3">
      <c r="A1133" s="3">
        <v>46092</v>
      </c>
      <c r="B1133" s="4">
        <v>23866.85</v>
      </c>
      <c r="C1133" s="7">
        <v>1131</v>
      </c>
      <c r="D1133" s="5">
        <f t="shared" si="17"/>
        <v>-1.6404386692587491E-2</v>
      </c>
    </row>
    <row r="1134" spans="1:4" x14ac:dyDescent="0.3">
      <c r="A1134" s="3">
        <v>46093</v>
      </c>
      <c r="B1134" s="4">
        <v>23639.15</v>
      </c>
      <c r="C1134" s="7">
        <v>1132</v>
      </c>
      <c r="D1134" s="5">
        <f t="shared" si="17"/>
        <v>-9.5862309485363565E-3</v>
      </c>
    </row>
    <row r="1135" spans="1:4" x14ac:dyDescent="0.3">
      <c r="A1135" s="3">
        <v>46094</v>
      </c>
      <c r="B1135" s="4">
        <v>23151.1</v>
      </c>
      <c r="C1135" s="7">
        <v>1133</v>
      </c>
      <c r="D1135" s="5">
        <f t="shared" si="17"/>
        <v>-2.0861940282608349E-2</v>
      </c>
    </row>
    <row r="1136" spans="1:4" x14ac:dyDescent="0.3">
      <c r="A1136" s="3">
        <v>46097</v>
      </c>
      <c r="B1136" s="4">
        <v>23408.799999999999</v>
      </c>
      <c r="C1136" s="7">
        <v>1134</v>
      </c>
      <c r="D1136" s="5">
        <f t="shared" si="17"/>
        <v>1.1069724441647895E-2</v>
      </c>
    </row>
    <row r="1137" spans="1:4" x14ac:dyDescent="0.3">
      <c r="A1137" s="3">
        <v>46098</v>
      </c>
      <c r="B1137" s="4">
        <v>23581.15</v>
      </c>
      <c r="C1137" s="7">
        <v>1135</v>
      </c>
      <c r="D1137" s="5">
        <f t="shared" si="17"/>
        <v>7.3356440204539039E-3</v>
      </c>
    </row>
    <row r="1138" spans="1:4" x14ac:dyDescent="0.3">
      <c r="A1138" s="3">
        <v>46099</v>
      </c>
      <c r="B1138" s="4">
        <v>23777.8</v>
      </c>
      <c r="C1138" s="7">
        <v>1136</v>
      </c>
      <c r="D1138" s="5">
        <f t="shared" si="17"/>
        <v>8.3047082004444207E-3</v>
      </c>
    </row>
    <row r="1139" spans="1:4" x14ac:dyDescent="0.3">
      <c r="A1139" s="3">
        <v>46100</v>
      </c>
      <c r="B1139" s="4">
        <v>23002.15</v>
      </c>
      <c r="C1139" s="7">
        <v>1137</v>
      </c>
      <c r="D1139" s="5">
        <f t="shared" si="17"/>
        <v>-3.3164682443435636E-2</v>
      </c>
    </row>
    <row r="1140" spans="1:4" x14ac:dyDescent="0.3">
      <c r="A1140" s="3">
        <v>46101</v>
      </c>
      <c r="B1140" s="4">
        <v>23114.5</v>
      </c>
      <c r="C1140" s="7">
        <v>1138</v>
      </c>
      <c r="D1140" s="5">
        <f t="shared" si="17"/>
        <v>4.8724364094799378E-3</v>
      </c>
    </row>
    <row r="1141" spans="1:4" x14ac:dyDescent="0.3">
      <c r="A1141" s="3">
        <v>46104</v>
      </c>
      <c r="B1141" s="4">
        <v>22512.65</v>
      </c>
      <c r="C1141" s="7">
        <v>1139</v>
      </c>
      <c r="D1141" s="5">
        <f t="shared" si="17"/>
        <v>-2.6382752785782303E-2</v>
      </c>
    </row>
    <row r="1142" spans="1:4" x14ac:dyDescent="0.3">
      <c r="A1142" s="3">
        <v>46105</v>
      </c>
      <c r="B1142" s="4">
        <v>22912.400000000001</v>
      </c>
      <c r="C1142" s="7">
        <v>1140</v>
      </c>
      <c r="D1142" s="5">
        <f t="shared" si="17"/>
        <v>1.7600875281506459E-2</v>
      </c>
    </row>
    <row r="1143" spans="1:4" x14ac:dyDescent="0.3">
      <c r="A1143" s="3">
        <v>46106</v>
      </c>
      <c r="B1143" s="4">
        <v>23306.45</v>
      </c>
      <c r="C1143" s="7">
        <v>1141</v>
      </c>
      <c r="D1143" s="5">
        <f t="shared" si="17"/>
        <v>1.7051897570883399E-2</v>
      </c>
    </row>
    <row r="1144" spans="1:4" x14ac:dyDescent="0.3">
      <c r="A1144" s="3">
        <v>46108</v>
      </c>
      <c r="B1144" s="4">
        <v>22819.599999999999</v>
      </c>
      <c r="C1144" s="7">
        <v>1142</v>
      </c>
      <c r="D1144" s="5">
        <f t="shared" si="17"/>
        <v>-2.1110330500768722E-2</v>
      </c>
    </row>
    <row r="1145" spans="1:4" x14ac:dyDescent="0.3">
      <c r="A1145" s="3">
        <v>46111</v>
      </c>
      <c r="B1145" s="4">
        <v>22331.4</v>
      </c>
      <c r="C1145" s="7">
        <v>1143</v>
      </c>
      <c r="D1145" s="5">
        <f t="shared" si="17"/>
        <v>-2.1626055984993561E-2</v>
      </c>
    </row>
    <row r="1146" spans="1:4" x14ac:dyDescent="0.3">
      <c r="A1146" s="3">
        <v>46113</v>
      </c>
      <c r="B1146" s="4">
        <v>22679.4</v>
      </c>
      <c r="C1146" s="7">
        <v>1144</v>
      </c>
      <c r="D1146" s="5">
        <f t="shared" si="17"/>
        <v>1.5463263671631812E-2</v>
      </c>
    </row>
    <row r="1147" spans="1:4" x14ac:dyDescent="0.3">
      <c r="A1147" s="3">
        <v>46114</v>
      </c>
      <c r="B1147" s="4">
        <v>22713.1</v>
      </c>
      <c r="C1147" s="7">
        <v>1145</v>
      </c>
      <c r="D1147" s="5">
        <f t="shared" si="17"/>
        <v>1.4848270613675759E-3</v>
      </c>
    </row>
    <row r="1148" spans="1:4" x14ac:dyDescent="0.3">
      <c r="A1148" s="3">
        <v>46118</v>
      </c>
      <c r="B1148" s="4">
        <v>22968.25</v>
      </c>
      <c r="C1148" s="7">
        <v>1146</v>
      </c>
      <c r="D1148" s="5">
        <f t="shared" si="17"/>
        <v>1.1170976924161889E-2</v>
      </c>
    </row>
    <row r="1149" spans="1:4" x14ac:dyDescent="0.3">
      <c r="A1149" s="3">
        <v>46119</v>
      </c>
      <c r="B1149" s="4">
        <v>23123.65</v>
      </c>
      <c r="C1149" s="7">
        <v>1147</v>
      </c>
      <c r="D1149" s="5">
        <f t="shared" si="17"/>
        <v>6.7430758473412617E-3</v>
      </c>
    </row>
    <row r="1150" spans="1:4" x14ac:dyDescent="0.3">
      <c r="A1150" s="3">
        <v>46120</v>
      </c>
      <c r="B1150" s="4">
        <v>23997.35</v>
      </c>
      <c r="C1150" s="7">
        <v>1148</v>
      </c>
      <c r="D1150" s="5">
        <f t="shared" si="17"/>
        <v>3.7087504268883312E-2</v>
      </c>
    </row>
    <row r="1151" spans="1:4" x14ac:dyDescent="0.3">
      <c r="A1151" s="3">
        <v>46121</v>
      </c>
      <c r="B1151" s="4">
        <v>23775.1</v>
      </c>
      <c r="C1151" s="7">
        <v>1149</v>
      </c>
      <c r="D1151" s="5">
        <f t="shared" si="17"/>
        <v>-9.3045930634583808E-3</v>
      </c>
    </row>
    <row r="1152" spans="1:4" x14ac:dyDescent="0.3">
      <c r="A1152" s="3">
        <v>46122</v>
      </c>
      <c r="B1152" s="4">
        <v>24050.6</v>
      </c>
      <c r="C1152" s="7">
        <v>1150</v>
      </c>
      <c r="D1152" s="5">
        <f t="shared" si="17"/>
        <v>1.1521129744069802E-2</v>
      </c>
    </row>
    <row r="1153" spans="1:4" x14ac:dyDescent="0.3">
      <c r="A1153" s="3">
        <v>46125</v>
      </c>
      <c r="B1153" s="4">
        <v>23842.65</v>
      </c>
      <c r="C1153" s="7">
        <v>1151</v>
      </c>
      <c r="D1153" s="5">
        <f t="shared" si="17"/>
        <v>-8.6839505278128153E-3</v>
      </c>
    </row>
    <row r="1154" spans="1:4" x14ac:dyDescent="0.3">
      <c r="A1154" s="3">
        <v>46127</v>
      </c>
      <c r="B1154" s="4">
        <v>24231.3</v>
      </c>
      <c r="C1154" s="7">
        <v>1152</v>
      </c>
      <c r="D1154" s="5">
        <f t="shared" si="17"/>
        <v>1.6169192148386771E-2</v>
      </c>
    </row>
    <row r="1155" spans="1:4" x14ac:dyDescent="0.3">
      <c r="A1155" s="3">
        <v>46128</v>
      </c>
      <c r="B1155" s="4">
        <v>24196.75</v>
      </c>
      <c r="C1155" s="7">
        <v>1153</v>
      </c>
      <c r="D1155" s="5">
        <f t="shared" ref="D1155:D1218" si="18">LN(B1155/B1154)</f>
        <v>-1.4268592628351902E-3</v>
      </c>
    </row>
    <row r="1156" spans="1:4" x14ac:dyDescent="0.3">
      <c r="A1156" s="3">
        <v>46129</v>
      </c>
      <c r="B1156" s="4">
        <v>24353.55</v>
      </c>
      <c r="C1156" s="7">
        <v>1154</v>
      </c>
      <c r="D1156" s="5">
        <f t="shared" si="18"/>
        <v>6.4593028333434733E-3</v>
      </c>
    </row>
    <row r="1157" spans="1:4" x14ac:dyDescent="0.3">
      <c r="A1157" s="3">
        <v>46132</v>
      </c>
      <c r="B1157" s="4">
        <v>24364.85</v>
      </c>
      <c r="C1157" s="7">
        <v>1155</v>
      </c>
      <c r="D1157" s="5">
        <f t="shared" si="18"/>
        <v>4.6389044807052763E-4</v>
      </c>
    </row>
    <row r="1158" spans="1:4" x14ac:dyDescent="0.3">
      <c r="A1158" s="3">
        <v>46133</v>
      </c>
      <c r="B1158" s="4">
        <v>24576.6</v>
      </c>
      <c r="C1158" s="7">
        <v>1156</v>
      </c>
      <c r="D1158" s="5">
        <f t="shared" si="18"/>
        <v>8.6532508250691514E-3</v>
      </c>
    </row>
    <row r="1159" spans="1:4" x14ac:dyDescent="0.3">
      <c r="A1159" s="3">
        <v>46134</v>
      </c>
      <c r="B1159" s="4">
        <v>24378.1</v>
      </c>
      <c r="C1159" s="7">
        <v>1157</v>
      </c>
      <c r="D1159" s="5">
        <f t="shared" si="18"/>
        <v>-8.1095824452783096E-3</v>
      </c>
    </row>
    <row r="1160" spans="1:4" x14ac:dyDescent="0.3">
      <c r="A1160" s="3">
        <v>46135</v>
      </c>
      <c r="B1160" s="4">
        <v>24173.05</v>
      </c>
      <c r="C1160" s="7">
        <v>1158</v>
      </c>
      <c r="D1160" s="5">
        <f t="shared" si="18"/>
        <v>-8.4468120391927026E-3</v>
      </c>
    </row>
    <row r="1161" spans="1:4" x14ac:dyDescent="0.3">
      <c r="A1161" s="3">
        <v>46136</v>
      </c>
      <c r="B1161" s="4">
        <v>23897.95</v>
      </c>
      <c r="C1161" s="7">
        <v>1159</v>
      </c>
      <c r="D1161" s="5">
        <f t="shared" si="18"/>
        <v>-1.1445695045189528E-2</v>
      </c>
    </row>
    <row r="1162" spans="1:4" x14ac:dyDescent="0.3">
      <c r="A1162" s="3">
        <v>46139</v>
      </c>
      <c r="B1162" s="4">
        <v>24092.7</v>
      </c>
      <c r="C1162" s="7">
        <v>1160</v>
      </c>
      <c r="D1162" s="5">
        <f t="shared" si="18"/>
        <v>8.1162088473576682E-3</v>
      </c>
    </row>
    <row r="1163" spans="1:4" x14ac:dyDescent="0.3">
      <c r="A1163" s="3">
        <v>46140</v>
      </c>
      <c r="B1163" s="4">
        <v>23995.7</v>
      </c>
      <c r="C1163" s="7">
        <v>1161</v>
      </c>
      <c r="D1163" s="5">
        <f t="shared" si="18"/>
        <v>-4.0342424184259592E-3</v>
      </c>
    </row>
    <row r="1164" spans="1:4" x14ac:dyDescent="0.3">
      <c r="A1164" s="3">
        <v>46141</v>
      </c>
      <c r="B1164" s="4">
        <v>24177.65</v>
      </c>
      <c r="C1164" s="7">
        <v>1162</v>
      </c>
      <c r="D1164" s="5">
        <f t="shared" si="18"/>
        <v>7.5540050761180024E-3</v>
      </c>
    </row>
    <row r="1165" spans="1:4" x14ac:dyDescent="0.3">
      <c r="A1165" s="3">
        <v>46142</v>
      </c>
      <c r="B1165" s="4">
        <v>23997.55</v>
      </c>
      <c r="C1165" s="7">
        <v>1163</v>
      </c>
      <c r="D1165" s="5">
        <f t="shared" si="18"/>
        <v>-7.476910901378273E-3</v>
      </c>
    </row>
    <row r="1166" spans="1:4" x14ac:dyDescent="0.3">
      <c r="A1166" s="3">
        <v>46146</v>
      </c>
      <c r="B1166" s="4">
        <v>24119.3</v>
      </c>
      <c r="C1166" s="7">
        <v>1164</v>
      </c>
      <c r="D1166" s="5">
        <f t="shared" si="18"/>
        <v>5.0606080752246428E-3</v>
      </c>
    </row>
    <row r="1167" spans="1:4" x14ac:dyDescent="0.3">
      <c r="A1167" s="3">
        <v>46147</v>
      </c>
      <c r="B1167" s="4">
        <v>24032.799999999999</v>
      </c>
      <c r="C1167" s="7">
        <v>1165</v>
      </c>
      <c r="D1167" s="5">
        <f t="shared" si="18"/>
        <v>-3.59278590325008E-3</v>
      </c>
    </row>
    <row r="1168" spans="1:4" x14ac:dyDescent="0.3">
      <c r="A1168" s="3">
        <v>46148</v>
      </c>
      <c r="B1168" s="4">
        <v>24330.95</v>
      </c>
      <c r="C1168" s="7">
        <v>1166</v>
      </c>
      <c r="D1168" s="5">
        <f t="shared" si="18"/>
        <v>1.2329638502128454E-2</v>
      </c>
    </row>
    <row r="1169" spans="1:4" x14ac:dyDescent="0.3">
      <c r="A1169" s="3">
        <v>46149</v>
      </c>
      <c r="B1169" s="4">
        <v>24326.65</v>
      </c>
      <c r="C1169" s="7">
        <v>1167</v>
      </c>
      <c r="D1169" s="5">
        <f t="shared" si="18"/>
        <v>-1.7674525711061125E-4</v>
      </c>
    </row>
    <row r="1170" spans="1:4" x14ac:dyDescent="0.3">
      <c r="A1170" s="3">
        <v>46150</v>
      </c>
      <c r="B1170" s="4">
        <v>24176.15</v>
      </c>
      <c r="C1170" s="7">
        <v>1168</v>
      </c>
      <c r="D1170" s="5">
        <f t="shared" si="18"/>
        <v>-6.2058472092796453E-3</v>
      </c>
    </row>
    <row r="1171" spans="1:4" x14ac:dyDescent="0.3">
      <c r="A1171" s="3">
        <v>46153</v>
      </c>
      <c r="B1171" s="4">
        <v>23815.85</v>
      </c>
      <c r="C1171" s="7">
        <v>1169</v>
      </c>
      <c r="D1171" s="5">
        <f t="shared" si="18"/>
        <v>-1.5015284604692003E-2</v>
      </c>
    </row>
    <row r="1172" spans="1:4" x14ac:dyDescent="0.3">
      <c r="A1172" s="3">
        <v>46154</v>
      </c>
      <c r="B1172" s="4">
        <v>23379.55</v>
      </c>
      <c r="C1172" s="7">
        <v>1170</v>
      </c>
      <c r="D1172" s="5">
        <f t="shared" si="18"/>
        <v>-1.84896167679287E-2</v>
      </c>
    </row>
    <row r="1173" spans="1:4" x14ac:dyDescent="0.3">
      <c r="A1173" s="3">
        <v>46155</v>
      </c>
      <c r="B1173" s="4">
        <v>23412.6</v>
      </c>
      <c r="C1173" s="7">
        <v>1171</v>
      </c>
      <c r="D1173" s="5">
        <f t="shared" si="18"/>
        <v>1.4126303448764603E-3</v>
      </c>
    </row>
    <row r="1174" spans="1:4" x14ac:dyDescent="0.3">
      <c r="A1174" s="3">
        <v>46156</v>
      </c>
      <c r="B1174" s="4">
        <v>23689.599999999999</v>
      </c>
      <c r="C1174" s="7">
        <v>1172</v>
      </c>
      <c r="D1174" s="5">
        <f t="shared" si="18"/>
        <v>1.1761794282919329E-2</v>
      </c>
    </row>
    <row r="1175" spans="1:4" x14ac:dyDescent="0.3">
      <c r="A1175" s="3">
        <v>46157</v>
      </c>
      <c r="B1175" s="4">
        <v>23643.5</v>
      </c>
      <c r="C1175" s="7">
        <v>1173</v>
      </c>
      <c r="D1175" s="5">
        <f t="shared" si="18"/>
        <v>-1.9478975421618667E-3</v>
      </c>
    </row>
    <row r="1176" spans="1:4" x14ac:dyDescent="0.3">
      <c r="A1176" s="3">
        <v>46160</v>
      </c>
      <c r="B1176" s="4">
        <v>23649.95</v>
      </c>
      <c r="C1176" s="7">
        <v>1174</v>
      </c>
      <c r="D1176" s="5">
        <f t="shared" si="18"/>
        <v>2.7276504632216535E-4</v>
      </c>
    </row>
    <row r="1177" spans="1:4" x14ac:dyDescent="0.3">
      <c r="A1177" s="3">
        <v>46161</v>
      </c>
      <c r="B1177" s="4">
        <v>23618</v>
      </c>
      <c r="C1177" s="7">
        <v>1175</v>
      </c>
      <c r="D1177" s="5">
        <f t="shared" si="18"/>
        <v>-1.3518675917124454E-3</v>
      </c>
    </row>
    <row r="1178" spans="1:4" x14ac:dyDescent="0.3">
      <c r="A1178" s="3">
        <v>46162</v>
      </c>
      <c r="B1178" s="4">
        <v>23659</v>
      </c>
      <c r="C1178" s="7">
        <v>1176</v>
      </c>
      <c r="D1178" s="5">
        <f t="shared" si="18"/>
        <v>1.7344590510618102E-3</v>
      </c>
    </row>
    <row r="1179" spans="1:4" x14ac:dyDescent="0.3">
      <c r="A1179" s="3">
        <v>46163</v>
      </c>
      <c r="B1179" s="4">
        <v>23654.7</v>
      </c>
      <c r="C1179" s="7">
        <v>1177</v>
      </c>
      <c r="D1179" s="5">
        <f t="shared" si="18"/>
        <v>-1.8176553564142739E-4</v>
      </c>
    </row>
    <row r="1180" spans="1:4" x14ac:dyDescent="0.3">
      <c r="A1180" s="3">
        <v>46164</v>
      </c>
      <c r="B1180" s="4">
        <v>23719.3</v>
      </c>
      <c r="C1180" s="7">
        <v>1178</v>
      </c>
      <c r="D1180" s="5">
        <f t="shared" si="18"/>
        <v>2.7272360383433312E-3</v>
      </c>
    </row>
    <row r="1181" spans="1:4" x14ac:dyDescent="0.3">
      <c r="A1181" s="3">
        <v>46167</v>
      </c>
      <c r="B1181" s="4">
        <v>24031.7</v>
      </c>
      <c r="C1181" s="7">
        <v>1179</v>
      </c>
      <c r="D1181" s="5">
        <f t="shared" si="18"/>
        <v>1.3084729415427099E-2</v>
      </c>
    </row>
    <row r="1182" spans="1:4" x14ac:dyDescent="0.3">
      <c r="A1182" s="3">
        <v>46168</v>
      </c>
      <c r="B1182" s="4">
        <v>23913.7</v>
      </c>
      <c r="C1182" s="7">
        <v>1180</v>
      </c>
      <c r="D1182" s="5">
        <f t="shared" si="18"/>
        <v>-4.9222756823281708E-3</v>
      </c>
    </row>
    <row r="1183" spans="1:4" x14ac:dyDescent="0.3">
      <c r="A1183" s="3">
        <v>46169</v>
      </c>
      <c r="B1183" s="4">
        <v>23907.15</v>
      </c>
      <c r="C1183" s="7">
        <v>1181</v>
      </c>
      <c r="D1183" s="5">
        <f t="shared" si="18"/>
        <v>-2.7393908895215999E-4</v>
      </c>
    </row>
    <row r="1184" spans="1:4" x14ac:dyDescent="0.3">
      <c r="A1184" s="3">
        <v>46171</v>
      </c>
      <c r="B1184" s="4">
        <v>23547.75</v>
      </c>
      <c r="C1184" s="7">
        <v>1182</v>
      </c>
      <c r="D1184" s="5">
        <f t="shared" si="18"/>
        <v>-1.514730288021764E-2</v>
      </c>
    </row>
    <row r="1185" spans="1:4" x14ac:dyDescent="0.3">
      <c r="A1185" s="3">
        <v>46174</v>
      </c>
      <c r="B1185" s="4">
        <v>23382.6</v>
      </c>
      <c r="C1185" s="7">
        <v>1183</v>
      </c>
      <c r="D1185" s="5">
        <f t="shared" si="18"/>
        <v>-7.0381184766963537E-3</v>
      </c>
    </row>
    <row r="1186" spans="1:4" x14ac:dyDescent="0.3">
      <c r="A1186" s="3">
        <v>46175</v>
      </c>
      <c r="B1186" s="4">
        <v>23483.55</v>
      </c>
      <c r="C1186" s="7">
        <v>1184</v>
      </c>
      <c r="D1186" s="5">
        <f t="shared" si="18"/>
        <v>4.3080200156337288E-3</v>
      </c>
    </row>
    <row r="1187" spans="1:4" x14ac:dyDescent="0.3">
      <c r="A1187" s="3">
        <v>46176</v>
      </c>
      <c r="B1187" s="4">
        <v>23405.599999999999</v>
      </c>
      <c r="C1187" s="7">
        <v>1185</v>
      </c>
      <c r="D1187" s="5">
        <f t="shared" si="18"/>
        <v>-3.3248660643112335E-3</v>
      </c>
    </row>
    <row r="1188" spans="1:4" x14ac:dyDescent="0.3">
      <c r="A1188" s="3">
        <v>46177</v>
      </c>
      <c r="B1188" s="4">
        <v>23416.55</v>
      </c>
      <c r="C1188" s="7">
        <v>1186</v>
      </c>
      <c r="D1188" s="5">
        <f t="shared" si="18"/>
        <v>4.677273555198729E-4</v>
      </c>
    </row>
    <row r="1189" spans="1:4" x14ac:dyDescent="0.3">
      <c r="A1189" s="3">
        <v>46178</v>
      </c>
      <c r="B1189" s="4">
        <v>23366.7</v>
      </c>
      <c r="C1189" s="7">
        <v>1187</v>
      </c>
      <c r="D1189" s="5">
        <f t="shared" si="18"/>
        <v>-2.1311054219877008E-3</v>
      </c>
    </row>
    <row r="1190" spans="1:4" x14ac:dyDescent="0.3">
      <c r="A1190" s="3">
        <v>46181</v>
      </c>
      <c r="B1190" s="4">
        <v>23123</v>
      </c>
      <c r="C1190" s="7">
        <v>1188</v>
      </c>
      <c r="D1190" s="5">
        <f t="shared" si="18"/>
        <v>-1.0484138733110175E-2</v>
      </c>
    </row>
    <row r="1191" spans="1:4" x14ac:dyDescent="0.3">
      <c r="A1191" s="3">
        <v>46182</v>
      </c>
      <c r="B1191" s="4">
        <v>23242.1</v>
      </c>
      <c r="C1191" s="7">
        <v>1189</v>
      </c>
      <c r="D1191" s="5">
        <f t="shared" si="18"/>
        <v>5.1374961753134028E-3</v>
      </c>
    </row>
    <row r="1192" spans="1:4" x14ac:dyDescent="0.3">
      <c r="A1192" s="3">
        <v>46183</v>
      </c>
      <c r="B1192" s="4">
        <v>23214.95</v>
      </c>
      <c r="C1192" s="7">
        <v>1190</v>
      </c>
      <c r="D1192" s="5">
        <f t="shared" si="18"/>
        <v>-1.1688216574620206E-3</v>
      </c>
    </row>
    <row r="1193" spans="1:4" x14ac:dyDescent="0.3">
      <c r="A1193" s="3">
        <v>46184</v>
      </c>
      <c r="B1193" s="4">
        <v>23161.599999999999</v>
      </c>
      <c r="C1193" s="7">
        <v>1191</v>
      </c>
      <c r="D1193" s="5">
        <f t="shared" si="18"/>
        <v>-2.3007327424504793E-3</v>
      </c>
    </row>
    <row r="1194" spans="1:4" x14ac:dyDescent="0.3">
      <c r="A1194" s="3">
        <v>46185</v>
      </c>
      <c r="B1194" s="4">
        <v>23622.9</v>
      </c>
      <c r="C1194" s="7">
        <v>1192</v>
      </c>
      <c r="D1194" s="5">
        <f t="shared" si="18"/>
        <v>1.9720845592834733E-2</v>
      </c>
    </row>
    <row r="1195" spans="1:4" x14ac:dyDescent="0.3">
      <c r="A1195" s="3">
        <v>46188</v>
      </c>
      <c r="B1195" s="4">
        <v>23853.9</v>
      </c>
      <c r="C1195" s="7">
        <v>1193</v>
      </c>
      <c r="D1195" s="5">
        <f t="shared" si="18"/>
        <v>9.7311454385957067E-3</v>
      </c>
    </row>
    <row r="1196" spans="1:4" x14ac:dyDescent="0.3">
      <c r="A1196" s="3">
        <v>46189</v>
      </c>
      <c r="B1196" s="4">
        <v>23989.15</v>
      </c>
      <c r="C1196" s="7">
        <v>1194</v>
      </c>
      <c r="D1196" s="5">
        <f t="shared" si="18"/>
        <v>5.6539188154709078E-3</v>
      </c>
    </row>
    <row r="1197" spans="1:4" x14ac:dyDescent="0.3">
      <c r="A1197" s="3">
        <v>46190</v>
      </c>
      <c r="B1197" s="4">
        <v>24085.7</v>
      </c>
      <c r="C1197" s="7">
        <v>1195</v>
      </c>
      <c r="D1197" s="5">
        <f t="shared" si="18"/>
        <v>4.0166585983226755E-3</v>
      </c>
    </row>
    <row r="1198" spans="1:4" x14ac:dyDescent="0.3">
      <c r="A1198" s="3">
        <v>46191</v>
      </c>
      <c r="B1198" s="4">
        <v>24168</v>
      </c>
      <c r="C1198" s="7">
        <v>1196</v>
      </c>
      <c r="D1198" s="5">
        <f t="shared" si="18"/>
        <v>3.4111406919150548E-3</v>
      </c>
    </row>
    <row r="1199" spans="1:4" x14ac:dyDescent="0.3">
      <c r="A1199" s="3">
        <v>46192</v>
      </c>
      <c r="B1199" s="4">
        <v>24013.1</v>
      </c>
      <c r="C1199" s="7">
        <v>1197</v>
      </c>
      <c r="D1199" s="5">
        <f t="shared" si="18"/>
        <v>-6.4299293159206534E-3</v>
      </c>
    </row>
    <row r="1200" spans="1:4" x14ac:dyDescent="0.3">
      <c r="A1200" s="3">
        <v>46195</v>
      </c>
      <c r="B1200" s="4">
        <v>24102.9</v>
      </c>
      <c r="C1200" s="7">
        <v>1198</v>
      </c>
      <c r="D1200" s="5">
        <f t="shared" si="18"/>
        <v>3.7326504390581355E-3</v>
      </c>
    </row>
    <row r="1201" spans="1:4" x14ac:dyDescent="0.3">
      <c r="A1201" s="3">
        <v>46196</v>
      </c>
      <c r="B1201" s="4">
        <v>23824.1</v>
      </c>
      <c r="C1201" s="7">
        <v>1199</v>
      </c>
      <c r="D1201" s="5">
        <f t="shared" si="18"/>
        <v>-1.1634491826712961E-2</v>
      </c>
    </row>
    <row r="1202" spans="1:4" x14ac:dyDescent="0.3">
      <c r="A1202" s="3">
        <v>46197</v>
      </c>
      <c r="B1202" s="4">
        <v>24021.65</v>
      </c>
      <c r="C1202" s="7">
        <v>1200</v>
      </c>
      <c r="D1202" s="5">
        <f t="shared" si="18"/>
        <v>8.2578336678393992E-3</v>
      </c>
    </row>
    <row r="1203" spans="1:4" x14ac:dyDescent="0.3">
      <c r="A1203" s="3">
        <v>46198</v>
      </c>
      <c r="B1203" s="4">
        <v>24056</v>
      </c>
      <c r="C1203" s="7">
        <v>1201</v>
      </c>
      <c r="D1203" s="5">
        <f t="shared" si="18"/>
        <v>1.428938637593024E-3</v>
      </c>
    </row>
    <row r="1204" spans="1:4" x14ac:dyDescent="0.3">
      <c r="A1204" s="3">
        <v>46202</v>
      </c>
      <c r="B1204" s="4">
        <v>23946.25</v>
      </c>
      <c r="C1204" s="7">
        <v>1202</v>
      </c>
      <c r="D1204" s="5">
        <f t="shared" si="18"/>
        <v>-4.572710289054184E-3</v>
      </c>
    </row>
    <row r="1205" spans="1:4" x14ac:dyDescent="0.3">
      <c r="A1205" s="3">
        <v>46203</v>
      </c>
      <c r="B1205" s="4">
        <v>23865.75</v>
      </c>
      <c r="C1205" s="7">
        <v>1203</v>
      </c>
      <c r="D1205" s="5">
        <f t="shared" si="18"/>
        <v>-3.3673586575118332E-3</v>
      </c>
    </row>
    <row r="1206" spans="1:4" x14ac:dyDescent="0.3">
      <c r="A1206" s="3">
        <v>46204</v>
      </c>
      <c r="B1206" s="4">
        <v>24005.85</v>
      </c>
      <c r="C1206" s="7">
        <v>1204</v>
      </c>
      <c r="D1206" s="5">
        <f t="shared" si="18"/>
        <v>5.8531739060789078E-3</v>
      </c>
    </row>
    <row r="1207" spans="1:4" x14ac:dyDescent="0.3">
      <c r="A1207" s="3">
        <v>46205</v>
      </c>
      <c r="B1207" s="4">
        <v>24175.7</v>
      </c>
      <c r="C1207" s="7">
        <v>1205</v>
      </c>
      <c r="D1207" s="5">
        <f t="shared" si="18"/>
        <v>7.0504458069889546E-3</v>
      </c>
    </row>
    <row r="1208" spans="1:4" x14ac:dyDescent="0.3">
      <c r="A1208" s="3">
        <v>46206</v>
      </c>
      <c r="B1208" s="4">
        <v>24270.85</v>
      </c>
      <c r="C1208" s="7">
        <v>1206</v>
      </c>
      <c r="D1208" s="5">
        <f t="shared" si="18"/>
        <v>3.9280453342234525E-3</v>
      </c>
    </row>
    <row r="1209" spans="1:4" x14ac:dyDescent="0.3">
      <c r="A1209" s="3">
        <v>46209</v>
      </c>
      <c r="B1209" s="4">
        <v>24430.35</v>
      </c>
      <c r="C1209" s="7">
        <v>1207</v>
      </c>
      <c r="D1209" s="5">
        <f t="shared" si="18"/>
        <v>6.5501700276348719E-3</v>
      </c>
    </row>
    <row r="1210" spans="1:4" x14ac:dyDescent="0.3">
      <c r="A1210" s="3">
        <v>46210</v>
      </c>
      <c r="B1210" s="4">
        <v>24398.7</v>
      </c>
      <c r="C1210" s="7">
        <v>1208</v>
      </c>
      <c r="D1210" s="5">
        <f t="shared" si="18"/>
        <v>-1.2963596233162159E-3</v>
      </c>
    </row>
    <row r="1211" spans="1:4" x14ac:dyDescent="0.3">
      <c r="A1211" s="3">
        <v>46211</v>
      </c>
      <c r="B1211" s="4">
        <v>23882.05</v>
      </c>
      <c r="C1211" s="7">
        <v>1209</v>
      </c>
      <c r="D1211" s="5">
        <f t="shared" si="18"/>
        <v>-2.1402721455271209E-2</v>
      </c>
    </row>
    <row r="1212" spans="1:4" x14ac:dyDescent="0.3">
      <c r="A1212" s="3">
        <v>46212</v>
      </c>
      <c r="B1212" s="4">
        <v>23962.799999999999</v>
      </c>
      <c r="C1212" s="7">
        <v>1210</v>
      </c>
      <c r="D1212" s="5">
        <f t="shared" si="18"/>
        <v>3.37549711920856E-3</v>
      </c>
    </row>
    <row r="1213" spans="1:4" x14ac:dyDescent="0.3">
      <c r="A1213" s="3">
        <v>46213</v>
      </c>
      <c r="B1213" s="4">
        <v>24206.9</v>
      </c>
      <c r="C1213" s="7">
        <v>1211</v>
      </c>
      <c r="D1213" s="5">
        <f t="shared" si="18"/>
        <v>1.0135088634260337E-2</v>
      </c>
    </row>
    <row r="1214" spans="1:4" x14ac:dyDescent="0.3">
      <c r="A1214" s="3">
        <v>46216</v>
      </c>
      <c r="B1214" s="4">
        <v>24211</v>
      </c>
      <c r="C1214" s="7">
        <v>1212</v>
      </c>
      <c r="D1214" s="5">
        <f t="shared" si="18"/>
        <v>1.6935885322568231E-4</v>
      </c>
    </row>
    <row r="1215" spans="1:4" x14ac:dyDescent="0.3">
      <c r="A1215" s="3">
        <v>46217</v>
      </c>
      <c r="B1215" s="4">
        <v>24052.05</v>
      </c>
      <c r="C1215" s="7">
        <v>1213</v>
      </c>
      <c r="D1215" s="5">
        <f t="shared" si="18"/>
        <v>-6.5868433383303275E-3</v>
      </c>
    </row>
    <row r="1216" spans="1:4" x14ac:dyDescent="0.3">
      <c r="A1216" s="3">
        <v>46218</v>
      </c>
      <c r="B1216" s="4">
        <v>24078.5</v>
      </c>
      <c r="C1216" s="7">
        <v>1214</v>
      </c>
      <c r="D1216" s="5">
        <f t="shared" si="18"/>
        <v>1.0990941372017902E-3</v>
      </c>
    </row>
    <row r="1217" spans="1:4" x14ac:dyDescent="0.3">
      <c r="A1217" s="3">
        <v>46219</v>
      </c>
      <c r="B1217" s="4">
        <v>24072.75</v>
      </c>
      <c r="C1217" s="7">
        <v>1215</v>
      </c>
      <c r="D1217" s="5">
        <f t="shared" si="18"/>
        <v>-2.3883076876853854E-4</v>
      </c>
    </row>
    <row r="1218" spans="1:4" x14ac:dyDescent="0.3">
      <c r="A1218" s="3">
        <v>46220</v>
      </c>
      <c r="B1218" s="4">
        <v>24334.3</v>
      </c>
      <c r="C1218" s="7">
        <v>1216</v>
      </c>
      <c r="D1218" s="5">
        <f t="shared" si="18"/>
        <v>1.0806382345822582E-2</v>
      </c>
    </row>
    <row r="1219" spans="1:4" x14ac:dyDescent="0.3">
      <c r="A1219" s="3">
        <v>46223</v>
      </c>
      <c r="B1219" s="4">
        <v>24238.5</v>
      </c>
      <c r="C1219" s="7">
        <v>1217</v>
      </c>
      <c r="D1219" s="5">
        <f t="shared" ref="D1219:D1240" si="19">LN(B1219/B1218)</f>
        <v>-3.944599620345806E-3</v>
      </c>
    </row>
    <row r="1220" spans="1:4" x14ac:dyDescent="0.3">
      <c r="A1220" s="3">
        <v>46224</v>
      </c>
      <c r="B1220" s="4">
        <v>24187.7</v>
      </c>
      <c r="C1220" s="7">
        <v>1218</v>
      </c>
      <c r="D1220" s="5">
        <f t="shared" si="19"/>
        <v>-2.0980386086102407E-3</v>
      </c>
    </row>
    <row r="1221" spans="1:4" x14ac:dyDescent="0.3">
      <c r="A1221" s="3">
        <v>46225</v>
      </c>
      <c r="B1221" s="4">
        <v>23996.25</v>
      </c>
      <c r="C1221" s="7">
        <v>1219</v>
      </c>
      <c r="D1221" s="5">
        <f t="shared" si="19"/>
        <v>-7.9466713500223034E-3</v>
      </c>
    </row>
    <row r="1222" spans="1:4" x14ac:dyDescent="0.3">
      <c r="A1222" s="3">
        <v>46226</v>
      </c>
      <c r="B1222" s="4">
        <v>23869.599999999999</v>
      </c>
      <c r="C1222" s="7">
        <v>1220</v>
      </c>
      <c r="D1222" s="5">
        <f t="shared" si="19"/>
        <v>-5.291885365423704E-3</v>
      </c>
    </row>
    <row r="1223" spans="1:4" x14ac:dyDescent="0.3">
      <c r="A1223" s="3">
        <v>46227</v>
      </c>
      <c r="B1223" s="4">
        <v>23767.45</v>
      </c>
      <c r="C1223" s="7">
        <v>1221</v>
      </c>
      <c r="D1223" s="5">
        <f t="shared" si="19"/>
        <v>-4.2886852384368098E-3</v>
      </c>
    </row>
    <row r="1224" spans="1:4" x14ac:dyDescent="0.3">
      <c r="A1224" s="3">
        <v>46230</v>
      </c>
      <c r="B1224" s="4">
        <v>23995.95</v>
      </c>
      <c r="C1224" s="7">
        <v>1222</v>
      </c>
      <c r="D1224" s="5">
        <f t="shared" si="19"/>
        <v>9.5680685722803645E-3</v>
      </c>
    </row>
    <row r="1225" spans="1:4" x14ac:dyDescent="0.3">
      <c r="A1225" s="3">
        <v>46231</v>
      </c>
      <c r="B1225" s="4">
        <v>23985.35</v>
      </c>
      <c r="C1225" s="7">
        <v>1223</v>
      </c>
      <c r="D1225" s="5">
        <f t="shared" si="19"/>
        <v>-4.4183880688715383E-4</v>
      </c>
    </row>
    <row r="1226" spans="1:4" x14ac:dyDescent="0.3">
      <c r="A1226" s="3">
        <v>46232</v>
      </c>
      <c r="B1226" s="4">
        <v>24250.2</v>
      </c>
      <c r="C1226" s="7">
        <v>1224</v>
      </c>
      <c r="D1226" s="5">
        <f t="shared" si="19"/>
        <v>1.0981637470987526E-2</v>
      </c>
    </row>
    <row r="1227" spans="1:4" x14ac:dyDescent="0.3">
      <c r="A1227" s="3">
        <v>46233</v>
      </c>
      <c r="B1227" s="4">
        <v>24317.15</v>
      </c>
      <c r="C1227" s="7">
        <v>1225</v>
      </c>
      <c r="D1227" s="5">
        <f t="shared" si="19"/>
        <v>2.7569979588118235E-3</v>
      </c>
    </row>
    <row r="1228" spans="1:4" x14ac:dyDescent="0.3">
      <c r="A1228" s="3">
        <v>46234</v>
      </c>
      <c r="B1228" s="4">
        <v>24383.599999999999</v>
      </c>
      <c r="C1228" s="7">
        <v>1226</v>
      </c>
      <c r="D1228" s="5">
        <f t="shared" si="19"/>
        <v>2.7289124392354969E-3</v>
      </c>
    </row>
    <row r="1229" spans="1:4" x14ac:dyDescent="0.3">
      <c r="A1229" s="3">
        <v>46237</v>
      </c>
      <c r="B1229" s="4">
        <v>24774.3</v>
      </c>
      <c r="C1229" s="7">
        <v>1227</v>
      </c>
      <c r="D1229" s="5">
        <f t="shared" si="19"/>
        <v>1.5896050358084092E-2</v>
      </c>
    </row>
    <row r="1230" spans="1:4" x14ac:dyDescent="0.3">
      <c r="A1230" s="3">
        <v>46238</v>
      </c>
      <c r="B1230" s="4">
        <v>24614.9</v>
      </c>
      <c r="C1230" s="7">
        <v>1228</v>
      </c>
      <c r="D1230" s="5">
        <f t="shared" si="19"/>
        <v>-6.4548748898602092E-3</v>
      </c>
    </row>
    <row r="1231" spans="1:4" x14ac:dyDescent="0.3">
      <c r="A1231" s="3">
        <v>46239</v>
      </c>
      <c r="B1231" s="4">
        <v>24624.65</v>
      </c>
      <c r="C1231" s="7">
        <v>1229</v>
      </c>
      <c r="D1231" s="5">
        <f t="shared" si="19"/>
        <v>3.9602312074043145E-4</v>
      </c>
    </row>
    <row r="1232" spans="1:4" x14ac:dyDescent="0.3">
      <c r="A1232" s="3">
        <v>46240</v>
      </c>
      <c r="B1232" s="4">
        <v>24636</v>
      </c>
      <c r="C1232" s="7">
        <v>1230</v>
      </c>
      <c r="D1232" s="5">
        <f t="shared" si="19"/>
        <v>4.6081406562213439E-4</v>
      </c>
    </row>
    <row r="1233" spans="1:10" x14ac:dyDescent="0.3">
      <c r="A1233" s="3">
        <v>46241</v>
      </c>
      <c r="B1233" s="4">
        <v>24570.65</v>
      </c>
      <c r="C1233" s="7">
        <v>1231</v>
      </c>
      <c r="D1233" s="5">
        <f t="shared" si="19"/>
        <v>-2.6561466151820922E-3</v>
      </c>
    </row>
    <row r="1234" spans="1:10" x14ac:dyDescent="0.3">
      <c r="A1234" s="3">
        <v>46244</v>
      </c>
      <c r="B1234" s="4">
        <v>24583.8</v>
      </c>
      <c r="C1234" s="7">
        <v>1232</v>
      </c>
      <c r="D1234" s="5">
        <f t="shared" si="19"/>
        <v>5.3504821287622976E-4</v>
      </c>
    </row>
    <row r="1235" spans="1:10" x14ac:dyDescent="0.3">
      <c r="A1235" s="3">
        <v>46245</v>
      </c>
      <c r="B1235" s="4">
        <v>24471.7</v>
      </c>
      <c r="C1235" s="7">
        <v>1233</v>
      </c>
      <c r="D1235" s="5">
        <f t="shared" si="19"/>
        <v>-4.5703415571696762E-3</v>
      </c>
    </row>
    <row r="1236" spans="1:10" x14ac:dyDescent="0.3">
      <c r="A1236" s="3">
        <v>46246</v>
      </c>
      <c r="B1236" s="4">
        <v>24435.95</v>
      </c>
      <c r="C1236" s="7">
        <v>1234</v>
      </c>
      <c r="D1236" s="5">
        <f t="shared" si="19"/>
        <v>-1.4619392412955027E-3</v>
      </c>
    </row>
    <row r="1237" spans="1:10" x14ac:dyDescent="0.3">
      <c r="A1237" s="3">
        <v>46247</v>
      </c>
      <c r="B1237" s="4">
        <v>24395.85</v>
      </c>
      <c r="C1237" s="7">
        <v>1235</v>
      </c>
      <c r="D1237" s="5">
        <f t="shared" si="19"/>
        <v>-1.6423727576609119E-3</v>
      </c>
    </row>
    <row r="1238" spans="1:10" x14ac:dyDescent="0.3">
      <c r="A1238" s="3">
        <v>46248</v>
      </c>
      <c r="B1238" s="4">
        <v>24366</v>
      </c>
      <c r="C1238" s="7">
        <v>1236</v>
      </c>
      <c r="D1238" s="5">
        <f t="shared" si="19"/>
        <v>-1.2243179341491939E-3</v>
      </c>
    </row>
    <row r="1239" spans="1:10" x14ac:dyDescent="0.3">
      <c r="A1239" s="3">
        <v>46251</v>
      </c>
      <c r="B1239" s="4">
        <v>24287.65</v>
      </c>
      <c r="C1239" s="7">
        <v>1237</v>
      </c>
      <c r="D1239" s="5">
        <f t="shared" si="19"/>
        <v>-3.2207272312593169E-3</v>
      </c>
    </row>
    <row r="1240" spans="1:10" x14ac:dyDescent="0.3">
      <c r="A1240" s="3">
        <v>46252</v>
      </c>
      <c r="B1240" s="4">
        <v>24154.9</v>
      </c>
      <c r="C1240" s="7">
        <v>1238</v>
      </c>
      <c r="D1240" s="5">
        <f t="shared" si="19"/>
        <v>-5.4807326327770307E-3</v>
      </c>
    </row>
    <row r="1243" spans="1:10" x14ac:dyDescent="0.3">
      <c r="C1243" s="1" t="s">
        <v>4</v>
      </c>
      <c r="D1243" s="1">
        <v>1084</v>
      </c>
      <c r="E1243" s="6" t="s">
        <v>29</v>
      </c>
    </row>
    <row r="1244" spans="1:10" x14ac:dyDescent="0.3">
      <c r="C1244" s="1" t="s">
        <v>3</v>
      </c>
      <c r="D1244" s="1">
        <v>1238</v>
      </c>
    </row>
    <row r="1245" spans="1:10" ht="39" x14ac:dyDescent="0.3">
      <c r="D1245" s="6" t="s">
        <v>31</v>
      </c>
      <c r="E1245" s="11" t="s">
        <v>28</v>
      </c>
      <c r="F1245" s="9">
        <f>B1240</f>
        <v>24154.9</v>
      </c>
      <c r="H1245" s="6" t="s">
        <v>30</v>
      </c>
      <c r="I1245" s="11" t="s">
        <v>28</v>
      </c>
      <c r="J1245" s="9">
        <v>24154.9</v>
      </c>
    </row>
    <row r="1246" spans="1:10" x14ac:dyDescent="0.3">
      <c r="B1246" s="10" t="s">
        <v>6</v>
      </c>
      <c r="C1246" s="1" t="s">
        <v>5</v>
      </c>
      <c r="D1246" s="1">
        <f ca="1">RANDBETWEEN($D$1243,$D$1244)</f>
        <v>1099</v>
      </c>
      <c r="E1246" s="8">
        <f ca="1">_xlfn.XLOOKUP(D1246,$C$3:$C$1240,$D$3:$D$1240,0)</f>
        <v>-9.5851726789207992E-3</v>
      </c>
      <c r="F1246" s="1">
        <f ca="1">F1245*EXP(E1246)</f>
        <v>23924.477197814151</v>
      </c>
      <c r="H1246" s="1">
        <f ca="1">RANDBETWEEN($D$1243,$D$1244)</f>
        <v>1226</v>
      </c>
      <c r="I1246" s="8">
        <f ca="1">_xlfn.XLOOKUP(H1246,$C$3:$C$1240,$D$3:$D$1240,0)</f>
        <v>2.7289124392354969E-3</v>
      </c>
      <c r="J1246" s="1">
        <f ca="1">J1245*EXP(I1246)</f>
        <v>24220.906629271933</v>
      </c>
    </row>
    <row r="1247" spans="1:10" x14ac:dyDescent="0.3">
      <c r="B1247" s="10" t="s">
        <v>7</v>
      </c>
      <c r="C1247" s="1" t="s">
        <v>5</v>
      </c>
      <c r="D1247" s="1">
        <f ca="1">RANDBETWEEN($D$1243,$D$1244)</f>
        <v>1233</v>
      </c>
      <c r="E1247" s="8">
        <f ca="1">_xlfn.XLOOKUP(D1247,$C$3:$C$1240,$D$3:$D$1240,0)</f>
        <v>-4.5703415571696762E-3</v>
      </c>
      <c r="F1247" s="1">
        <f ca="1">F1246*EXP(E1247)</f>
        <v>23815.383652720433</v>
      </c>
      <c r="H1247" s="1">
        <f t="shared" ref="H1247:H1267" ca="1" si="20">RANDBETWEEN($D$1243,$D$1244)</f>
        <v>1181</v>
      </c>
      <c r="I1247" s="8">
        <f t="shared" ref="I1247:I1267" ca="1" si="21">_xlfn.XLOOKUP(H1247,$C$3:$C$1240,$D$3:$D$1240,0)</f>
        <v>-2.7393908895215999E-4</v>
      </c>
      <c r="J1247" s="1">
        <f t="shared" ref="J1247:J1267" ca="1" si="22">J1246*EXP(I1247)</f>
        <v>24214.272484893536</v>
      </c>
    </row>
    <row r="1248" spans="1:10" x14ac:dyDescent="0.3">
      <c r="B1248" s="10" t="s">
        <v>8</v>
      </c>
      <c r="C1248" s="1" t="s">
        <v>5</v>
      </c>
      <c r="D1248" s="1">
        <f t="shared" ref="D1248:D1267" ca="1" si="23">RANDBETWEEN($D$1243,$D$1244)</f>
        <v>1107</v>
      </c>
      <c r="E1248" s="8">
        <f t="shared" ref="E1248:E1267" ca="1" si="24">_xlfn.XLOOKUP(D1248,$C$3:$C$1240,$D$3:$D$1240,0)</f>
        <v>1.8814242626680484E-3</v>
      </c>
      <c r="F1248" s="1">
        <f t="shared" ref="F1248:F1267" ca="1" si="25">F1247*EXP(E1248)</f>
        <v>23860.232670134617</v>
      </c>
      <c r="H1248" s="1">
        <f t="shared" ca="1" si="20"/>
        <v>1237</v>
      </c>
      <c r="I1248" s="8">
        <f t="shared" ca="1" si="21"/>
        <v>-3.2207272312593169E-3</v>
      </c>
      <c r="J1248" s="1">
        <f t="shared" ca="1" si="22"/>
        <v>24136.410371736212</v>
      </c>
    </row>
    <row r="1249" spans="2:10" x14ac:dyDescent="0.3">
      <c r="B1249" s="10" t="s">
        <v>9</v>
      </c>
      <c r="C1249" s="1" t="s">
        <v>5</v>
      </c>
      <c r="D1249" s="1">
        <f t="shared" ca="1" si="23"/>
        <v>1235</v>
      </c>
      <c r="E1249" s="8">
        <f t="shared" ca="1" si="24"/>
        <v>-1.6423727576609119E-3</v>
      </c>
      <c r="F1249" s="1">
        <f t="shared" ca="1" si="25"/>
        <v>23821.077436551623</v>
      </c>
      <c r="H1249" s="1">
        <f t="shared" ca="1" si="20"/>
        <v>1223</v>
      </c>
      <c r="I1249" s="8">
        <f t="shared" ca="1" si="21"/>
        <v>-4.4183880688715383E-4</v>
      </c>
      <c r="J1249" s="1">
        <f t="shared" ca="1" si="22"/>
        <v>24125.748324601573</v>
      </c>
    </row>
    <row r="1250" spans="2:10" x14ac:dyDescent="0.3">
      <c r="B1250" s="10" t="s">
        <v>10</v>
      </c>
      <c r="C1250" s="1" t="s">
        <v>5</v>
      </c>
      <c r="D1250" s="1">
        <f t="shared" ca="1" si="23"/>
        <v>1200</v>
      </c>
      <c r="E1250" s="8">
        <f t="shared" ca="1" si="24"/>
        <v>8.2578336678393992E-3</v>
      </c>
      <c r="F1250" s="1">
        <f t="shared" ca="1" si="25"/>
        <v>24018.60237338411</v>
      </c>
      <c r="H1250" s="1">
        <f t="shared" ca="1" si="20"/>
        <v>1198</v>
      </c>
      <c r="I1250" s="8">
        <f t="shared" ca="1" si="21"/>
        <v>3.7326504390581355E-3</v>
      </c>
      <c r="J1250" s="1">
        <f t="shared" ca="1" si="22"/>
        <v>24215.969587143652</v>
      </c>
    </row>
    <row r="1251" spans="2:10" x14ac:dyDescent="0.3">
      <c r="B1251" s="10" t="s">
        <v>11</v>
      </c>
      <c r="C1251" s="1" t="s">
        <v>5</v>
      </c>
      <c r="D1251" s="1">
        <f t="shared" ca="1" si="23"/>
        <v>1213</v>
      </c>
      <c r="E1251" s="8">
        <f t="shared" ca="1" si="24"/>
        <v>-6.5868433383303275E-3</v>
      </c>
      <c r="F1251" s="1">
        <f t="shared" ca="1" si="25"/>
        <v>23860.915501827818</v>
      </c>
      <c r="H1251" s="1">
        <f t="shared" ca="1" si="20"/>
        <v>1156</v>
      </c>
      <c r="I1251" s="8">
        <f t="shared" ca="1" si="21"/>
        <v>8.6532508250691514E-3</v>
      </c>
      <c r="J1251" s="1">
        <f t="shared" ca="1" si="22"/>
        <v>24426.42569748612</v>
      </c>
    </row>
    <row r="1252" spans="2:10" x14ac:dyDescent="0.3">
      <c r="B1252" s="10" t="s">
        <v>12</v>
      </c>
      <c r="C1252" s="1" t="s">
        <v>5</v>
      </c>
      <c r="D1252" s="1">
        <f t="shared" ca="1" si="23"/>
        <v>1164</v>
      </c>
      <c r="E1252" s="8">
        <f t="shared" ca="1" si="24"/>
        <v>5.0606080752246428E-3</v>
      </c>
      <c r="F1252" s="1">
        <f t="shared" ca="1" si="25"/>
        <v>23981.97229564</v>
      </c>
      <c r="H1252" s="1">
        <f t="shared" ca="1" si="20"/>
        <v>1176</v>
      </c>
      <c r="I1252" s="8">
        <f t="shared" ca="1" si="21"/>
        <v>1.7344590510618102E-3</v>
      </c>
      <c r="J1252" s="1">
        <f t="shared" ca="1" si="22"/>
        <v>24468.829095470581</v>
      </c>
    </row>
    <row r="1253" spans="2:10" x14ac:dyDescent="0.3">
      <c r="B1253" s="10" t="s">
        <v>13</v>
      </c>
      <c r="C1253" s="1" t="s">
        <v>5</v>
      </c>
      <c r="D1253" s="1">
        <f t="shared" ca="1" si="23"/>
        <v>1138</v>
      </c>
      <c r="E1253" s="8">
        <f t="shared" ca="1" si="24"/>
        <v>4.8724364094799378E-3</v>
      </c>
      <c r="F1253" s="1">
        <f t="shared" ca="1" si="25"/>
        <v>24099.108067183752</v>
      </c>
      <c r="H1253" s="1">
        <f t="shared" ca="1" si="20"/>
        <v>1223</v>
      </c>
      <c r="I1253" s="8">
        <f t="shared" ca="1" si="21"/>
        <v>-4.4183880688715383E-4</v>
      </c>
      <c r="J1253" s="1">
        <f t="shared" ca="1" si="22"/>
        <v>24458.020205286528</v>
      </c>
    </row>
    <row r="1254" spans="2:10" x14ac:dyDescent="0.3">
      <c r="B1254" s="10" t="s">
        <v>14</v>
      </c>
      <c r="C1254" s="1" t="s">
        <v>5</v>
      </c>
      <c r="D1254" s="1">
        <f t="shared" ca="1" si="23"/>
        <v>1133</v>
      </c>
      <c r="E1254" s="8">
        <f t="shared" ca="1" si="24"/>
        <v>-2.0861940282608349E-2</v>
      </c>
      <c r="F1254" s="1">
        <f t="shared" ca="1" si="25"/>
        <v>23601.561848635745</v>
      </c>
      <c r="H1254" s="1">
        <f t="shared" ca="1" si="20"/>
        <v>1107</v>
      </c>
      <c r="I1254" s="8">
        <f t="shared" ca="1" si="21"/>
        <v>1.8814242626680484E-3</v>
      </c>
      <c r="J1254" s="1">
        <f t="shared" ca="1" si="22"/>
        <v>24504.079432805127</v>
      </c>
    </row>
    <row r="1255" spans="2:10" x14ac:dyDescent="0.3">
      <c r="B1255" s="10" t="s">
        <v>15</v>
      </c>
      <c r="C1255" s="1" t="s">
        <v>5</v>
      </c>
      <c r="D1255" s="1">
        <f t="shared" ca="1" si="23"/>
        <v>1212</v>
      </c>
      <c r="E1255" s="8">
        <f t="shared" ca="1" si="24"/>
        <v>1.6935885322568231E-4</v>
      </c>
      <c r="F1255" s="1">
        <f t="shared" ca="1" si="25"/>
        <v>23605.559320578843</v>
      </c>
      <c r="H1255" s="1">
        <f t="shared" ca="1" si="20"/>
        <v>1135</v>
      </c>
      <c r="I1255" s="8">
        <f t="shared" ca="1" si="21"/>
        <v>7.3356440204539039E-3</v>
      </c>
      <c r="J1255" s="1">
        <f t="shared" ca="1" si="22"/>
        <v>24684.493554427936</v>
      </c>
    </row>
    <row r="1256" spans="2:10" x14ac:dyDescent="0.3">
      <c r="B1256" s="10" t="s">
        <v>16</v>
      </c>
      <c r="C1256" s="1" t="s">
        <v>5</v>
      </c>
      <c r="D1256" s="1">
        <f t="shared" ca="1" si="23"/>
        <v>1118</v>
      </c>
      <c r="E1256" s="8">
        <f t="shared" ca="1" si="24"/>
        <v>-1.4237559048147537E-2</v>
      </c>
      <c r="F1256" s="1">
        <f t="shared" ca="1" si="25"/>
        <v>23271.854980538861</v>
      </c>
      <c r="H1256" s="1">
        <f t="shared" ca="1" si="20"/>
        <v>1107</v>
      </c>
      <c r="I1256" s="8">
        <f t="shared" ca="1" si="21"/>
        <v>1.8814242626680484E-3</v>
      </c>
      <c r="J1256" s="1">
        <f t="shared" ca="1" si="22"/>
        <v>24730.979275482292</v>
      </c>
    </row>
    <row r="1257" spans="2:10" x14ac:dyDescent="0.3">
      <c r="B1257" s="10" t="s">
        <v>17</v>
      </c>
      <c r="C1257" s="1" t="s">
        <v>5</v>
      </c>
      <c r="D1257" s="1">
        <f t="shared" ca="1" si="23"/>
        <v>1170</v>
      </c>
      <c r="E1257" s="8">
        <f t="shared" ca="1" si="24"/>
        <v>-1.84896167679287E-2</v>
      </c>
      <c r="F1257" s="1">
        <f t="shared" ca="1" si="25"/>
        <v>22845.520823747938</v>
      </c>
      <c r="H1257" s="1">
        <f t="shared" ca="1" si="20"/>
        <v>1202</v>
      </c>
      <c r="I1257" s="8">
        <f t="shared" ca="1" si="21"/>
        <v>-4.572710289054184E-3</v>
      </c>
      <c r="J1257" s="1">
        <f t="shared" ca="1" si="22"/>
        <v>24618.149836860568</v>
      </c>
    </row>
    <row r="1258" spans="2:10" x14ac:dyDescent="0.3">
      <c r="B1258" s="10" t="s">
        <v>18</v>
      </c>
      <c r="C1258" s="1" t="s">
        <v>5</v>
      </c>
      <c r="D1258" s="1">
        <f t="shared" ca="1" si="23"/>
        <v>1119</v>
      </c>
      <c r="E1258" s="8">
        <f t="shared" ca="1" si="24"/>
        <v>4.5820217508651916E-3</v>
      </c>
      <c r="F1258" s="1">
        <f t="shared" ca="1" si="25"/>
        <v>22950.439683757962</v>
      </c>
      <c r="H1258" s="1">
        <f t="shared" ca="1" si="20"/>
        <v>1116</v>
      </c>
      <c r="I1258" s="8">
        <f t="shared" ca="1" si="21"/>
        <v>1.6592703602544172E-3</v>
      </c>
      <c r="J1258" s="1">
        <f t="shared" ca="1" si="22"/>
        <v>24659.031911036509</v>
      </c>
    </row>
    <row r="1259" spans="2:10" x14ac:dyDescent="0.3">
      <c r="B1259" s="10" t="s">
        <v>19</v>
      </c>
      <c r="C1259" s="1" t="s">
        <v>5</v>
      </c>
      <c r="D1259" s="1">
        <f t="shared" ca="1" si="23"/>
        <v>1224</v>
      </c>
      <c r="E1259" s="8">
        <f t="shared" ca="1" si="24"/>
        <v>1.0981637470987526E-2</v>
      </c>
      <c r="F1259" s="1">
        <f t="shared" ca="1" si="25"/>
        <v>23203.862041582353</v>
      </c>
      <c r="H1259" s="1">
        <f t="shared" ca="1" si="20"/>
        <v>1236</v>
      </c>
      <c r="I1259" s="8">
        <f t="shared" ca="1" si="21"/>
        <v>-1.2243179341491939E-3</v>
      </c>
      <c r="J1259" s="1">
        <f t="shared" ca="1" si="22"/>
        <v>24628.859889871255</v>
      </c>
    </row>
    <row r="1260" spans="2:10" x14ac:dyDescent="0.3">
      <c r="B1260" s="10" t="s">
        <v>20</v>
      </c>
      <c r="C1260" s="1" t="s">
        <v>5</v>
      </c>
      <c r="D1260" s="1">
        <f t="shared" ca="1" si="23"/>
        <v>1175</v>
      </c>
      <c r="E1260" s="8">
        <f t="shared" ca="1" si="24"/>
        <v>-1.3518675917124454E-3</v>
      </c>
      <c r="F1260" s="1">
        <f t="shared" ca="1" si="25"/>
        <v>23172.514685996885</v>
      </c>
      <c r="H1260" s="1">
        <f t="shared" ca="1" si="20"/>
        <v>1159</v>
      </c>
      <c r="I1260" s="8">
        <f t="shared" ca="1" si="21"/>
        <v>-1.1445695045189528E-2</v>
      </c>
      <c r="J1260" s="1">
        <f t="shared" ca="1" si="22"/>
        <v>24348.572571733763</v>
      </c>
    </row>
    <row r="1261" spans="2:10" x14ac:dyDescent="0.3">
      <c r="B1261" s="10" t="s">
        <v>21</v>
      </c>
      <c r="C1261" s="1" t="s">
        <v>5</v>
      </c>
      <c r="D1261" s="1">
        <f t="shared" ca="1" si="23"/>
        <v>1237</v>
      </c>
      <c r="E1261" s="8">
        <f t="shared" ca="1" si="24"/>
        <v>-3.2207272312593169E-3</v>
      </c>
      <c r="F1261" s="1">
        <f t="shared" ca="1" si="25"/>
        <v>23098.00239322631</v>
      </c>
      <c r="H1261" s="1">
        <f t="shared" ca="1" si="20"/>
        <v>1230</v>
      </c>
      <c r="I1261" s="8">
        <f t="shared" ca="1" si="21"/>
        <v>4.6081406562213439E-4</v>
      </c>
      <c r="J1261" s="1">
        <f t="shared" ca="1" si="22"/>
        <v>24359.795322054644</v>
      </c>
    </row>
    <row r="1262" spans="2:10" x14ac:dyDescent="0.3">
      <c r="B1262" s="10" t="s">
        <v>22</v>
      </c>
      <c r="C1262" s="1" t="s">
        <v>5</v>
      </c>
      <c r="D1262" s="1">
        <f t="shared" ca="1" si="23"/>
        <v>1128</v>
      </c>
      <c r="E1262" s="8">
        <f t="shared" ca="1" si="24"/>
        <v>-1.2819086331517163E-2</v>
      </c>
      <c r="F1262" s="1">
        <f t="shared" ca="1" si="25"/>
        <v>22803.79685840047</v>
      </c>
      <c r="H1262" s="1">
        <f t="shared" ca="1" si="20"/>
        <v>1196</v>
      </c>
      <c r="I1262" s="8">
        <f t="shared" ca="1" si="21"/>
        <v>3.4111406919150548E-3</v>
      </c>
      <c r="J1262" s="1">
        <f t="shared" ca="1" si="22"/>
        <v>24443.031896246179</v>
      </c>
    </row>
    <row r="1263" spans="2:10" x14ac:dyDescent="0.3">
      <c r="B1263" s="10" t="s">
        <v>23</v>
      </c>
      <c r="C1263" s="1" t="s">
        <v>5</v>
      </c>
      <c r="D1263" s="1">
        <f t="shared" ca="1" si="23"/>
        <v>1225</v>
      </c>
      <c r="E1263" s="8">
        <f t="shared" ca="1" si="24"/>
        <v>2.7569979588118235E-3</v>
      </c>
      <c r="F1263" s="1">
        <f t="shared" ca="1" si="25"/>
        <v>22866.753625753725</v>
      </c>
      <c r="H1263" s="1">
        <f t="shared" ca="1" si="20"/>
        <v>1180</v>
      </c>
      <c r="I1263" s="8">
        <f t="shared" ca="1" si="21"/>
        <v>-4.9222756823281708E-3</v>
      </c>
      <c r="J1263" s="1">
        <f t="shared" ca="1" si="22"/>
        <v>24323.012182128699</v>
      </c>
    </row>
    <row r="1264" spans="2:10" x14ac:dyDescent="0.3">
      <c r="B1264" s="10" t="s">
        <v>24</v>
      </c>
      <c r="C1264" s="1" t="s">
        <v>5</v>
      </c>
      <c r="D1264" s="1">
        <f t="shared" ca="1" si="23"/>
        <v>1167</v>
      </c>
      <c r="E1264" s="8">
        <f t="shared" ca="1" si="24"/>
        <v>-1.7674525711061125E-4</v>
      </c>
      <c r="F1264" s="1">
        <f t="shared" ca="1" si="25"/>
        <v>22862.71239264977</v>
      </c>
      <c r="H1264" s="1">
        <f t="shared" ca="1" si="20"/>
        <v>1136</v>
      </c>
      <c r="I1264" s="8">
        <f t="shared" ca="1" si="21"/>
        <v>8.3047082004444207E-3</v>
      </c>
      <c r="J1264" s="1">
        <f t="shared" ca="1" si="22"/>
        <v>24525.848784483354</v>
      </c>
    </row>
    <row r="1265" spans="2:10" x14ac:dyDescent="0.3">
      <c r="B1265" s="10" t="s">
        <v>25</v>
      </c>
      <c r="C1265" s="1" t="s">
        <v>5</v>
      </c>
      <c r="D1265" s="1">
        <f t="shared" ca="1" si="23"/>
        <v>1234</v>
      </c>
      <c r="E1265" s="8">
        <f t="shared" ca="1" si="24"/>
        <v>-1.4619392412955027E-3</v>
      </c>
      <c r="F1265" s="1">
        <f t="shared" ca="1" si="25"/>
        <v>22829.312916191771</v>
      </c>
      <c r="H1265" s="1">
        <f t="shared" ca="1" si="20"/>
        <v>1132</v>
      </c>
      <c r="I1265" s="8">
        <f t="shared" ca="1" si="21"/>
        <v>-9.5862309485363565E-3</v>
      </c>
      <c r="J1265" s="1">
        <f t="shared" ca="1" si="22"/>
        <v>24291.861653034219</v>
      </c>
    </row>
    <row r="1266" spans="2:10" x14ac:dyDescent="0.3">
      <c r="B1266" s="10" t="s">
        <v>26</v>
      </c>
      <c r="C1266" s="1" t="s">
        <v>5</v>
      </c>
      <c r="D1266" s="1">
        <f t="shared" ca="1" si="23"/>
        <v>1192</v>
      </c>
      <c r="E1266" s="8">
        <f t="shared" ca="1" si="24"/>
        <v>1.9720845592834733E-2</v>
      </c>
      <c r="F1266" s="1">
        <f t="shared" ca="1" si="25"/>
        <v>23283.994891885995</v>
      </c>
      <c r="H1266" s="1">
        <f t="shared" ca="1" si="20"/>
        <v>1153</v>
      </c>
      <c r="I1266" s="8">
        <f t="shared" ca="1" si="21"/>
        <v>-1.4268592628351902E-3</v>
      </c>
      <c r="J1266" s="1">
        <f t="shared" ca="1" si="22"/>
        <v>24257.225301698869</v>
      </c>
    </row>
    <row r="1267" spans="2:10" x14ac:dyDescent="0.3">
      <c r="B1267" s="10" t="s">
        <v>27</v>
      </c>
      <c r="C1267" s="1" t="s">
        <v>5</v>
      </c>
      <c r="D1267" s="1">
        <f t="shared" ca="1" si="23"/>
        <v>1207</v>
      </c>
      <c r="E1267" s="8">
        <f t="shared" ca="1" si="24"/>
        <v>6.5501700276348719E-3</v>
      </c>
      <c r="F1267" s="1">
        <f t="shared" ca="1" si="25"/>
        <v>23437.009606461535</v>
      </c>
      <c r="H1267" s="1">
        <f t="shared" ca="1" si="20"/>
        <v>1098</v>
      </c>
      <c r="I1267" s="8">
        <f t="shared" ca="1" si="21"/>
        <v>5.2490437166370345E-3</v>
      </c>
      <c r="J1267" s="1">
        <f t="shared" ca="1" si="22"/>
        <v>24384.887296330489</v>
      </c>
    </row>
  </sheetData>
  <phoneticPr fontId="4" type="noConversion"/>
  <pageMargins left="0.5" right="0.5" top="1" bottom="1" header="0.5" footer="0.75"/>
  <pageSetup fitToHeight="0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4408-2A40-4CEC-80DE-FEC6F1BD9D34}">
  <sheetPr>
    <pageSetUpPr fitToPage="1"/>
  </sheetPr>
  <dimension ref="A1:DP1243"/>
  <sheetViews>
    <sheetView tabSelected="1" topLeftCell="C24" zoomScale="61" zoomScaleNormal="61" workbookViewId="0">
      <selection activeCell="AB54" sqref="AB54"/>
    </sheetView>
  </sheetViews>
  <sheetFormatPr defaultColWidth="9.08984375" defaultRowHeight="13" x14ac:dyDescent="0.35"/>
  <cols>
    <col min="1" max="1" width="12.54296875" style="12" bestFit="1" customWidth="1"/>
    <col min="2" max="2" width="8.90625" style="12" bestFit="1" customWidth="1"/>
    <col min="3" max="3" width="9.08984375" style="12" customWidth="1"/>
    <col min="4" max="4" width="10.36328125" style="12" bestFit="1" customWidth="1"/>
    <col min="5" max="5" width="11.1796875" style="12" bestFit="1" customWidth="1"/>
    <col min="6" max="6" width="30.90625" style="12" bestFit="1" customWidth="1"/>
    <col min="7" max="7" width="7.81640625" style="12" bestFit="1" customWidth="1"/>
    <col min="8" max="8" width="9.90625" style="12" bestFit="1" customWidth="1"/>
    <col min="9" max="9" width="16.54296875" style="10" bestFit="1" customWidth="1"/>
    <col min="10" max="109" width="9.81640625" style="12" bestFit="1" customWidth="1"/>
    <col min="110" max="110" width="9.08984375" style="12"/>
    <col min="111" max="111" width="12.08984375" style="12" bestFit="1" customWidth="1"/>
    <col min="112" max="112" width="12" style="12" bestFit="1" customWidth="1"/>
    <col min="113" max="113" width="11" style="12" bestFit="1" customWidth="1"/>
    <col min="114" max="114" width="12" style="12" bestFit="1" customWidth="1"/>
    <col min="115" max="115" width="9.08984375" style="12"/>
    <col min="116" max="116" width="9.08984375" style="12" customWidth="1"/>
    <col min="117" max="117" width="12.08984375" style="12" bestFit="1" customWidth="1"/>
    <col min="118" max="118" width="12" style="12" bestFit="1" customWidth="1"/>
    <col min="119" max="119" width="7.81640625" style="12" bestFit="1" customWidth="1"/>
    <col min="120" max="120" width="12" style="12" bestFit="1" customWidth="1"/>
    <col min="121" max="16384" width="9.08984375" style="12"/>
  </cols>
  <sheetData>
    <row r="1" spans="1:117" x14ac:dyDescent="0.35">
      <c r="A1" s="14" t="s">
        <v>0</v>
      </c>
      <c r="B1" s="14" t="s">
        <v>1</v>
      </c>
      <c r="D1" s="15" t="s">
        <v>2</v>
      </c>
      <c r="J1" s="13" t="s">
        <v>36</v>
      </c>
      <c r="K1" s="13" t="s">
        <v>37</v>
      </c>
      <c r="L1" s="13" t="s">
        <v>38</v>
      </c>
      <c r="M1" s="13" t="s">
        <v>39</v>
      </c>
      <c r="N1" s="13" t="s">
        <v>40</v>
      </c>
      <c r="O1" s="13" t="s">
        <v>41</v>
      </c>
      <c r="P1" s="13" t="s">
        <v>42</v>
      </c>
      <c r="Q1" s="13" t="s">
        <v>43</v>
      </c>
      <c r="R1" s="13" t="s">
        <v>44</v>
      </c>
      <c r="S1" s="13" t="s">
        <v>45</v>
      </c>
      <c r="T1" s="13" t="s">
        <v>46</v>
      </c>
      <c r="U1" s="13" t="s">
        <v>47</v>
      </c>
      <c r="V1" s="13" t="s">
        <v>48</v>
      </c>
      <c r="W1" s="13" t="s">
        <v>49</v>
      </c>
      <c r="X1" s="13" t="s">
        <v>50</v>
      </c>
      <c r="Y1" s="13" t="s">
        <v>51</v>
      </c>
      <c r="Z1" s="13" t="s">
        <v>52</v>
      </c>
      <c r="AA1" s="13" t="s">
        <v>53</v>
      </c>
      <c r="AB1" s="13" t="s">
        <v>54</v>
      </c>
      <c r="AC1" s="13" t="s">
        <v>55</v>
      </c>
      <c r="AD1" s="13" t="s">
        <v>56</v>
      </c>
      <c r="AE1" s="13" t="s">
        <v>57</v>
      </c>
      <c r="AF1" s="13" t="s">
        <v>58</v>
      </c>
      <c r="AG1" s="13" t="s">
        <v>59</v>
      </c>
      <c r="AH1" s="13" t="s">
        <v>60</v>
      </c>
      <c r="AI1" s="13" t="s">
        <v>61</v>
      </c>
      <c r="AJ1" s="13" t="s">
        <v>62</v>
      </c>
      <c r="AK1" s="13" t="s">
        <v>63</v>
      </c>
      <c r="AL1" s="13" t="s">
        <v>64</v>
      </c>
      <c r="AM1" s="13" t="s">
        <v>65</v>
      </c>
      <c r="AN1" s="13" t="s">
        <v>66</v>
      </c>
      <c r="AO1" s="13" t="s">
        <v>67</v>
      </c>
      <c r="AP1" s="13" t="s">
        <v>68</v>
      </c>
      <c r="AQ1" s="13" t="s">
        <v>69</v>
      </c>
      <c r="AR1" s="13" t="s">
        <v>70</v>
      </c>
      <c r="AS1" s="13" t="s">
        <v>71</v>
      </c>
      <c r="AT1" s="13" t="s">
        <v>72</v>
      </c>
      <c r="AU1" s="13" t="s">
        <v>73</v>
      </c>
      <c r="AV1" s="13" t="s">
        <v>74</v>
      </c>
      <c r="AW1" s="13" t="s">
        <v>75</v>
      </c>
      <c r="AX1" s="13" t="s">
        <v>76</v>
      </c>
      <c r="AY1" s="13" t="s">
        <v>77</v>
      </c>
      <c r="AZ1" s="13" t="s">
        <v>78</v>
      </c>
      <c r="BA1" s="13" t="s">
        <v>79</v>
      </c>
      <c r="BB1" s="13" t="s">
        <v>80</v>
      </c>
      <c r="BC1" s="13" t="s">
        <v>81</v>
      </c>
      <c r="BD1" s="13" t="s">
        <v>82</v>
      </c>
      <c r="BE1" s="13" t="s">
        <v>83</v>
      </c>
      <c r="BF1" s="13" t="s">
        <v>84</v>
      </c>
      <c r="BG1" s="13" t="s">
        <v>85</v>
      </c>
      <c r="BH1" s="13" t="s">
        <v>86</v>
      </c>
      <c r="BI1" s="13" t="s">
        <v>87</v>
      </c>
      <c r="BJ1" s="13" t="s">
        <v>88</v>
      </c>
      <c r="BK1" s="13" t="s">
        <v>89</v>
      </c>
      <c r="BL1" s="13" t="s">
        <v>90</v>
      </c>
      <c r="BM1" s="13" t="s">
        <v>91</v>
      </c>
      <c r="BN1" s="13" t="s">
        <v>92</v>
      </c>
      <c r="BO1" s="13" t="s">
        <v>93</v>
      </c>
      <c r="BP1" s="13" t="s">
        <v>94</v>
      </c>
      <c r="BQ1" s="13" t="s">
        <v>95</v>
      </c>
      <c r="BR1" s="13" t="s">
        <v>96</v>
      </c>
      <c r="BS1" s="13" t="s">
        <v>97</v>
      </c>
      <c r="BT1" s="13" t="s">
        <v>98</v>
      </c>
      <c r="BU1" s="13" t="s">
        <v>99</v>
      </c>
      <c r="BV1" s="13" t="s">
        <v>100</v>
      </c>
      <c r="BW1" s="13" t="s">
        <v>101</v>
      </c>
      <c r="BX1" s="13" t="s">
        <v>102</v>
      </c>
      <c r="BY1" s="13" t="s">
        <v>103</v>
      </c>
      <c r="BZ1" s="13" t="s">
        <v>104</v>
      </c>
      <c r="CA1" s="13" t="s">
        <v>105</v>
      </c>
      <c r="CB1" s="13" t="s">
        <v>106</v>
      </c>
      <c r="CC1" s="13" t="s">
        <v>107</v>
      </c>
      <c r="CD1" s="13" t="s">
        <v>108</v>
      </c>
      <c r="CE1" s="13" t="s">
        <v>109</v>
      </c>
      <c r="CF1" s="13" t="s">
        <v>110</v>
      </c>
      <c r="CG1" s="13" t="s">
        <v>111</v>
      </c>
      <c r="CH1" s="13" t="s">
        <v>112</v>
      </c>
      <c r="CI1" s="13" t="s">
        <v>113</v>
      </c>
      <c r="CJ1" s="13" t="s">
        <v>114</v>
      </c>
      <c r="CK1" s="13" t="s">
        <v>115</v>
      </c>
      <c r="CL1" s="13" t="s">
        <v>116</v>
      </c>
      <c r="CM1" s="13" t="s">
        <v>117</v>
      </c>
      <c r="CN1" s="13" t="s">
        <v>118</v>
      </c>
      <c r="CO1" s="13" t="s">
        <v>119</v>
      </c>
      <c r="CP1" s="13" t="s">
        <v>120</v>
      </c>
      <c r="CQ1" s="13" t="s">
        <v>121</v>
      </c>
      <c r="CR1" s="13" t="s">
        <v>122</v>
      </c>
      <c r="CS1" s="13" t="s">
        <v>123</v>
      </c>
      <c r="CT1" s="13" t="s">
        <v>124</v>
      </c>
      <c r="CU1" s="13" t="s">
        <v>125</v>
      </c>
      <c r="CV1" s="13" t="s">
        <v>126</v>
      </c>
      <c r="CW1" s="13" t="s">
        <v>127</v>
      </c>
      <c r="CX1" s="13" t="s">
        <v>128</v>
      </c>
      <c r="CY1" s="13" t="s">
        <v>129</v>
      </c>
      <c r="CZ1" s="13" t="s">
        <v>130</v>
      </c>
      <c r="DA1" s="13" t="s">
        <v>131</v>
      </c>
      <c r="DB1" s="13" t="s">
        <v>132</v>
      </c>
      <c r="DC1" s="13" t="s">
        <v>133</v>
      </c>
      <c r="DD1" s="13" t="s">
        <v>134</v>
      </c>
      <c r="DE1" s="13" t="s">
        <v>135</v>
      </c>
      <c r="DG1" s="35" t="s">
        <v>144</v>
      </c>
      <c r="DH1" s="35"/>
      <c r="DI1" s="35"/>
      <c r="DJ1" s="15"/>
      <c r="DK1" s="15"/>
      <c r="DL1" s="15"/>
      <c r="DM1" s="15"/>
    </row>
    <row r="2" spans="1:117" x14ac:dyDescent="0.35">
      <c r="A2" s="16">
        <v>44428</v>
      </c>
      <c r="B2" s="17">
        <v>16450.5</v>
      </c>
      <c r="I2" s="13" t="s">
        <v>34</v>
      </c>
      <c r="J2" s="18">
        <f>B1240</f>
        <v>24154.9</v>
      </c>
      <c r="K2" s="18">
        <v>24154.9</v>
      </c>
      <c r="L2" s="18">
        <v>24154.9</v>
      </c>
      <c r="M2" s="18">
        <v>24154.9</v>
      </c>
      <c r="N2" s="18">
        <v>24154.9</v>
      </c>
      <c r="O2" s="18">
        <v>24154.9</v>
      </c>
      <c r="P2" s="18">
        <v>24154.9</v>
      </c>
      <c r="Q2" s="18">
        <v>24154.9</v>
      </c>
      <c r="R2" s="18">
        <v>24154.9</v>
      </c>
      <c r="S2" s="18">
        <v>24154.9</v>
      </c>
      <c r="T2" s="18">
        <v>24154.9</v>
      </c>
      <c r="U2" s="18">
        <v>24154.9</v>
      </c>
      <c r="V2" s="18">
        <v>24154.9</v>
      </c>
      <c r="W2" s="18">
        <v>24154.9</v>
      </c>
      <c r="X2" s="18">
        <v>24154.9</v>
      </c>
      <c r="Y2" s="18">
        <v>24154.9</v>
      </c>
      <c r="Z2" s="18">
        <v>24154.9</v>
      </c>
      <c r="AA2" s="18">
        <v>24154.9</v>
      </c>
      <c r="AB2" s="18">
        <v>24154.9</v>
      </c>
      <c r="AC2" s="18">
        <v>24154.9</v>
      </c>
      <c r="AD2" s="18">
        <v>24154.9</v>
      </c>
      <c r="AE2" s="18">
        <v>24154.9</v>
      </c>
      <c r="AF2" s="18">
        <v>24154.9</v>
      </c>
      <c r="AG2" s="18">
        <v>24154.9</v>
      </c>
      <c r="AH2" s="18">
        <v>24154.9</v>
      </c>
      <c r="AI2" s="18">
        <v>24154.9</v>
      </c>
      <c r="AJ2" s="18">
        <v>24154.9</v>
      </c>
      <c r="AK2" s="18">
        <v>24154.9</v>
      </c>
      <c r="AL2" s="18">
        <v>24154.9</v>
      </c>
      <c r="AM2" s="18">
        <v>24154.9</v>
      </c>
      <c r="AN2" s="18">
        <v>24154.9</v>
      </c>
      <c r="AO2" s="18">
        <v>24154.9</v>
      </c>
      <c r="AP2" s="18">
        <v>24154.9</v>
      </c>
      <c r="AQ2" s="18">
        <v>24154.9</v>
      </c>
      <c r="AR2" s="18">
        <v>24154.9</v>
      </c>
      <c r="AS2" s="18">
        <v>24154.9</v>
      </c>
      <c r="AT2" s="18">
        <v>24154.9</v>
      </c>
      <c r="AU2" s="18">
        <v>24154.9</v>
      </c>
      <c r="AV2" s="18">
        <v>24154.9</v>
      </c>
      <c r="AW2" s="18">
        <v>24154.9</v>
      </c>
      <c r="AX2" s="18">
        <v>24154.9</v>
      </c>
      <c r="AY2" s="18">
        <v>24154.9</v>
      </c>
      <c r="AZ2" s="18">
        <v>24154.9</v>
      </c>
      <c r="BA2" s="18">
        <v>24154.9</v>
      </c>
      <c r="BB2" s="18">
        <v>24154.9</v>
      </c>
      <c r="BC2" s="18">
        <v>24154.9</v>
      </c>
      <c r="BD2" s="18">
        <v>24154.9</v>
      </c>
      <c r="BE2" s="18">
        <v>24154.9</v>
      </c>
      <c r="BF2" s="18">
        <v>24154.9</v>
      </c>
      <c r="BG2" s="18">
        <v>24154.9</v>
      </c>
      <c r="BH2" s="18">
        <v>24154.9</v>
      </c>
      <c r="BI2" s="18">
        <v>24154.9</v>
      </c>
      <c r="BJ2" s="18">
        <v>24154.9</v>
      </c>
      <c r="BK2" s="18">
        <v>24154.9</v>
      </c>
      <c r="BL2" s="18">
        <v>24154.9</v>
      </c>
      <c r="BM2" s="18">
        <v>24154.9</v>
      </c>
      <c r="BN2" s="18">
        <v>24154.9</v>
      </c>
      <c r="BO2" s="18">
        <v>24154.9</v>
      </c>
      <c r="BP2" s="18">
        <v>24154.9</v>
      </c>
      <c r="BQ2" s="18">
        <v>24154.9</v>
      </c>
      <c r="BR2" s="18">
        <v>24154.9</v>
      </c>
      <c r="BS2" s="18">
        <v>24154.9</v>
      </c>
      <c r="BT2" s="18">
        <v>24154.9</v>
      </c>
      <c r="BU2" s="18">
        <v>24154.9</v>
      </c>
      <c r="BV2" s="18">
        <v>24154.9</v>
      </c>
      <c r="BW2" s="18">
        <v>24154.9</v>
      </c>
      <c r="BX2" s="18">
        <v>24154.9</v>
      </c>
      <c r="BY2" s="18">
        <v>24154.9</v>
      </c>
      <c r="BZ2" s="18">
        <v>24154.9</v>
      </c>
      <c r="CA2" s="18">
        <v>24154.9</v>
      </c>
      <c r="CB2" s="18">
        <v>24154.9</v>
      </c>
      <c r="CC2" s="18">
        <v>24154.9</v>
      </c>
      <c r="CD2" s="18">
        <v>24154.9</v>
      </c>
      <c r="CE2" s="18">
        <v>24154.9</v>
      </c>
      <c r="CF2" s="18">
        <v>24154.9</v>
      </c>
      <c r="CG2" s="18">
        <v>24154.9</v>
      </c>
      <c r="CH2" s="18">
        <v>24154.9</v>
      </c>
      <c r="CI2" s="18">
        <v>24154.9</v>
      </c>
      <c r="CJ2" s="18">
        <v>24154.9</v>
      </c>
      <c r="CK2" s="18">
        <v>24154.9</v>
      </c>
      <c r="CL2" s="18">
        <v>24154.9</v>
      </c>
      <c r="CM2" s="18">
        <v>24154.9</v>
      </c>
      <c r="CN2" s="18">
        <v>24154.9</v>
      </c>
      <c r="CO2" s="18">
        <v>24154.9</v>
      </c>
      <c r="CP2" s="18">
        <v>24154.9</v>
      </c>
      <c r="CQ2" s="18">
        <v>24154.9</v>
      </c>
      <c r="CR2" s="18">
        <v>24154.9</v>
      </c>
      <c r="CS2" s="18">
        <v>24154.9</v>
      </c>
      <c r="CT2" s="18">
        <v>24154.9</v>
      </c>
      <c r="CU2" s="18">
        <v>24154.9</v>
      </c>
      <c r="CV2" s="18">
        <v>24154.9</v>
      </c>
      <c r="CW2" s="18">
        <v>24154.9</v>
      </c>
      <c r="CX2" s="18">
        <v>24154.9</v>
      </c>
      <c r="CY2" s="18">
        <v>24154.9</v>
      </c>
      <c r="CZ2" s="18">
        <v>24154.9</v>
      </c>
      <c r="DA2" s="18">
        <v>24154.9</v>
      </c>
      <c r="DB2" s="18">
        <v>24154.9</v>
      </c>
      <c r="DC2" s="18">
        <v>24154.9</v>
      </c>
      <c r="DD2" s="18">
        <v>24154.9</v>
      </c>
      <c r="DE2" s="18">
        <v>24154.9</v>
      </c>
      <c r="DH2" s="13" t="s">
        <v>143</v>
      </c>
      <c r="DI2" s="10" t="s">
        <v>153</v>
      </c>
    </row>
    <row r="3" spans="1:117" x14ac:dyDescent="0.35">
      <c r="A3" s="16">
        <v>44431</v>
      </c>
      <c r="B3" s="17">
        <v>16496.45</v>
      </c>
      <c r="C3" s="10"/>
      <c r="D3" s="19">
        <f t="shared" ref="D3:D66" si="0">LN(B3/B2)</f>
        <v>2.7893343567396453E-3</v>
      </c>
      <c r="F3" s="20" t="s">
        <v>35</v>
      </c>
      <c r="G3" s="21">
        <v>0.05</v>
      </c>
      <c r="I3" s="13" t="s">
        <v>6</v>
      </c>
      <c r="J3" s="18">
        <f ca="1">J2+(J2*$G$3*$G$5)+(J2*$G$4*SQRT($G$5)*_xlfn.NORM.S.INV(RAND()))</f>
        <v>24461.426645983698</v>
      </c>
      <c r="K3" s="18">
        <f t="shared" ref="K3:L18" ca="1" si="1">K2+(K2*$G$3*$G$5)+(K2*$G$4*SQRT($G$5)*_xlfn.NORM.S.INV(RAND()))</f>
        <v>24402.788188865299</v>
      </c>
      <c r="L3" s="18">
        <f t="shared" ca="1" si="1"/>
        <v>23683.129480194715</v>
      </c>
      <c r="M3" s="18">
        <f t="shared" ref="M3:M24" ca="1" si="2">M2+(M2*$G$3*$G$5)+(M2*$G$4*SQRT($G$5)*_xlfn.NORM.S.INV(RAND()))</f>
        <v>24303.304566297029</v>
      </c>
      <c r="N3" s="18">
        <f t="shared" ref="N3:N24" ca="1" si="3">N2+(N2*$G$3*$G$5)+(N2*$G$4*SQRT($G$5)*_xlfn.NORM.S.INV(RAND()))</f>
        <v>23958.617899386052</v>
      </c>
      <c r="O3" s="18">
        <f t="shared" ref="O3:O24" ca="1" si="4">O2+(O2*$G$3*$G$5)+(O2*$G$4*SQRT($G$5)*_xlfn.NORM.S.INV(RAND()))</f>
        <v>24297.590152382989</v>
      </c>
      <c r="P3" s="18">
        <f t="shared" ref="P3:P24" ca="1" si="5">P2+(P2*$G$3*$G$5)+(P2*$G$4*SQRT($G$5)*_xlfn.NORM.S.INV(RAND()))</f>
        <v>24115.088394368391</v>
      </c>
      <c r="Q3" s="18">
        <f t="shared" ref="Q3:Q24" ca="1" si="6">Q2+(Q2*$G$3*$G$5)+(Q2*$G$4*SQRT($G$5)*_xlfn.NORM.S.INV(RAND()))</f>
        <v>24289.233604842662</v>
      </c>
      <c r="R3" s="18">
        <f t="shared" ref="R3:R24" ca="1" si="7">R2+(R2*$G$3*$G$5)+(R2*$G$4*SQRT($G$5)*_xlfn.NORM.S.INV(RAND()))</f>
        <v>24073.739813877753</v>
      </c>
      <c r="S3" s="18">
        <f t="shared" ref="S3:S24" ca="1" si="8">S2+(S2*$G$3*$G$5)+(S2*$G$4*SQRT($G$5)*_xlfn.NORM.S.INV(RAND()))</f>
        <v>24291.843097318953</v>
      </c>
      <c r="T3" s="18">
        <f t="shared" ref="T3:T24" ca="1" si="9">T2+(T2*$G$3*$G$5)+(T2*$G$4*SQRT($G$5)*_xlfn.NORM.S.INV(RAND()))</f>
        <v>24075.998159189912</v>
      </c>
      <c r="U3" s="18">
        <f t="shared" ref="U3:U24" ca="1" si="10">U2+(U2*$G$3*$G$5)+(U2*$G$4*SQRT($G$5)*_xlfn.NORM.S.INV(RAND()))</f>
        <v>24228.17203129494</v>
      </c>
      <c r="V3" s="18">
        <f t="shared" ref="V3:V24" ca="1" si="11">V2+(V2*$G$3*$G$5)+(V2*$G$4*SQRT($G$5)*_xlfn.NORM.S.INV(RAND()))</f>
        <v>23967.236619891162</v>
      </c>
      <c r="W3" s="18">
        <f t="shared" ref="W3:W24" ca="1" si="12">W2+(W2*$G$3*$G$5)+(W2*$G$4*SQRT($G$5)*_xlfn.NORM.S.INV(RAND()))</f>
        <v>23905.003964386389</v>
      </c>
      <c r="X3" s="18">
        <f t="shared" ref="X3:X24" ca="1" si="13">X2+(X2*$G$3*$G$5)+(X2*$G$4*SQRT($G$5)*_xlfn.NORM.S.INV(RAND()))</f>
        <v>24375.856219674584</v>
      </c>
      <c r="Y3" s="18">
        <f t="shared" ref="Y3:Y24" ca="1" si="14">Y2+(Y2*$G$3*$G$5)+(Y2*$G$4*SQRT($G$5)*_xlfn.NORM.S.INV(RAND()))</f>
        <v>23565.793494460733</v>
      </c>
      <c r="Z3" s="18">
        <f t="shared" ref="Z3:Z24" ca="1" si="15">Z2+(Z2*$G$3*$G$5)+(Z2*$G$4*SQRT($G$5)*_xlfn.NORM.S.INV(RAND()))</f>
        <v>24164.9092801849</v>
      </c>
      <c r="AA3" s="18">
        <f t="shared" ref="AA3:AA24" ca="1" si="16">AA2+(AA2*$G$3*$G$5)+(AA2*$G$4*SQRT($G$5)*_xlfn.NORM.S.INV(RAND()))</f>
        <v>24073.303688413489</v>
      </c>
      <c r="AB3" s="18">
        <f t="shared" ref="AB3:AB24" ca="1" si="17">AB2+(AB2*$G$3*$G$5)+(AB2*$G$4*SQRT($G$5)*_xlfn.NORM.S.INV(RAND()))</f>
        <v>24257.095827432382</v>
      </c>
      <c r="AC3" s="18">
        <f t="shared" ref="AC3:AC24" ca="1" si="18">AC2+(AC2*$G$3*$G$5)+(AC2*$G$4*SQRT($G$5)*_xlfn.NORM.S.INV(RAND()))</f>
        <v>23636.312855069627</v>
      </c>
      <c r="AD3" s="18">
        <f t="shared" ref="AD3:AD24" ca="1" si="19">AD2+(AD2*$G$3*$G$5)+(AD2*$G$4*SQRT($G$5)*_xlfn.NORM.S.INV(RAND()))</f>
        <v>23912.070754051041</v>
      </c>
      <c r="AE3" s="18">
        <f t="shared" ref="AE3:AE24" ca="1" si="20">AE2+(AE2*$G$3*$G$5)+(AE2*$G$4*SQRT($G$5)*_xlfn.NORM.S.INV(RAND()))</f>
        <v>24422.241246700269</v>
      </c>
      <c r="AF3" s="18">
        <f t="shared" ref="AF3:AF24" ca="1" si="21">AF2+(AF2*$G$3*$G$5)+(AF2*$G$4*SQRT($G$5)*_xlfn.NORM.S.INV(RAND()))</f>
        <v>24266.236292888163</v>
      </c>
      <c r="AG3" s="18">
        <f t="shared" ref="AG3:AG24" ca="1" si="22">AG2+(AG2*$G$3*$G$5)+(AG2*$G$4*SQRT($G$5)*_xlfn.NORM.S.INV(RAND()))</f>
        <v>23662.754006486441</v>
      </c>
      <c r="AH3" s="18">
        <f t="shared" ref="AH3:AH24" ca="1" si="23">AH2+(AH2*$G$3*$G$5)+(AH2*$G$4*SQRT($G$5)*_xlfn.NORM.S.INV(RAND()))</f>
        <v>24008.359840885285</v>
      </c>
      <c r="AI3" s="18">
        <f t="shared" ref="AI3:AI24" ca="1" si="24">AI2+(AI2*$G$3*$G$5)+(AI2*$G$4*SQRT($G$5)*_xlfn.NORM.S.INV(RAND()))</f>
        <v>24208.93645895131</v>
      </c>
      <c r="AJ3" s="18">
        <f t="shared" ref="AJ3:AJ24" ca="1" si="25">AJ2+(AJ2*$G$3*$G$5)+(AJ2*$G$4*SQRT($G$5)*_xlfn.NORM.S.INV(RAND()))</f>
        <v>23934.573636426041</v>
      </c>
      <c r="AK3" s="18">
        <f t="shared" ref="AK3:AK24" ca="1" si="26">AK2+(AK2*$G$3*$G$5)+(AK2*$G$4*SQRT($G$5)*_xlfn.NORM.S.INV(RAND()))</f>
        <v>24333.630763594298</v>
      </c>
      <c r="AL3" s="18">
        <f t="shared" ref="AL3:AL24" ca="1" si="27">AL2+(AL2*$G$3*$G$5)+(AL2*$G$4*SQRT($G$5)*_xlfn.NORM.S.INV(RAND()))</f>
        <v>24066.646854117622</v>
      </c>
      <c r="AM3" s="18">
        <f t="shared" ref="AM3:AM24" ca="1" si="28">AM2+(AM2*$G$3*$G$5)+(AM2*$G$4*SQRT($G$5)*_xlfn.NORM.S.INV(RAND()))</f>
        <v>24330.824761022759</v>
      </c>
      <c r="AN3" s="18">
        <f t="shared" ref="AN3:AN24" ca="1" si="29">AN2+(AN2*$G$3*$G$5)+(AN2*$G$4*SQRT($G$5)*_xlfn.NORM.S.INV(RAND()))</f>
        <v>24194.25967956008</v>
      </c>
      <c r="AO3" s="18">
        <f t="shared" ref="AO3:AO24" ca="1" si="30">AO2+(AO2*$G$3*$G$5)+(AO2*$G$4*SQRT($G$5)*_xlfn.NORM.S.INV(RAND()))</f>
        <v>24336.471380183382</v>
      </c>
      <c r="AP3" s="18">
        <f t="shared" ref="AP3:AP24" ca="1" si="31">AP2+(AP2*$G$3*$G$5)+(AP2*$G$4*SQRT($G$5)*_xlfn.NORM.S.INV(RAND()))</f>
        <v>23921.570669664317</v>
      </c>
      <c r="AQ3" s="18">
        <f t="shared" ref="AQ3:AQ24" ca="1" si="32">AQ2+(AQ2*$G$3*$G$5)+(AQ2*$G$4*SQRT($G$5)*_xlfn.NORM.S.INV(RAND()))</f>
        <v>24323.360379199894</v>
      </c>
      <c r="AR3" s="18">
        <f t="shared" ref="AR3:AR24" ca="1" si="33">AR2+(AR2*$G$3*$G$5)+(AR2*$G$4*SQRT($G$5)*_xlfn.NORM.S.INV(RAND()))</f>
        <v>24033.809041462806</v>
      </c>
      <c r="AS3" s="18">
        <f t="shared" ref="AS3:AS24" ca="1" si="34">AS2+(AS2*$G$3*$G$5)+(AS2*$G$4*SQRT($G$5)*_xlfn.NORM.S.INV(RAND()))</f>
        <v>24095.127838043729</v>
      </c>
      <c r="AT3" s="18">
        <f t="shared" ref="AT3:AT24" ca="1" si="35">AT2+(AT2*$G$3*$G$5)+(AT2*$G$4*SQRT($G$5)*_xlfn.NORM.S.INV(RAND()))</f>
        <v>24553.524047061277</v>
      </c>
      <c r="AU3" s="18">
        <f t="shared" ref="AU3:AU24" ca="1" si="36">AU2+(AU2*$G$3*$G$5)+(AU2*$G$4*SQRT($G$5)*_xlfn.NORM.S.INV(RAND()))</f>
        <v>24225.37347112484</v>
      </c>
      <c r="AV3" s="18">
        <f t="shared" ref="AV3:AV24" ca="1" si="37">AV2+(AV2*$G$3*$G$5)+(AV2*$G$4*SQRT($G$5)*_xlfn.NORM.S.INV(RAND()))</f>
        <v>24093.912125196621</v>
      </c>
      <c r="AW3" s="18">
        <f t="shared" ref="AW3:AW24" ca="1" si="38">AW2+(AW2*$G$3*$G$5)+(AW2*$G$4*SQRT($G$5)*_xlfn.NORM.S.INV(RAND()))</f>
        <v>24135.37584462604</v>
      </c>
      <c r="AX3" s="18">
        <f t="shared" ref="AX3:AX24" ca="1" si="39">AX2+(AX2*$G$3*$G$5)+(AX2*$G$4*SQRT($G$5)*_xlfn.NORM.S.INV(RAND()))</f>
        <v>24138.917347686158</v>
      </c>
      <c r="AY3" s="18">
        <f t="shared" ref="AY3:AY24" ca="1" si="40">AY2+(AY2*$G$3*$G$5)+(AY2*$G$4*SQRT($G$5)*_xlfn.NORM.S.INV(RAND()))</f>
        <v>23995.938768454609</v>
      </c>
      <c r="AZ3" s="18">
        <f t="shared" ref="AZ3:AZ24" ca="1" si="41">AZ2+(AZ2*$G$3*$G$5)+(AZ2*$G$4*SQRT($G$5)*_xlfn.NORM.S.INV(RAND()))</f>
        <v>24345.822719293632</v>
      </c>
      <c r="BA3" s="18">
        <f t="shared" ref="BA3:BA24" ca="1" si="42">BA2+(BA2*$G$3*$G$5)+(BA2*$G$4*SQRT($G$5)*_xlfn.NORM.S.INV(RAND()))</f>
        <v>24030.081272054791</v>
      </c>
      <c r="BB3" s="18">
        <f t="shared" ref="BB3:BB24" ca="1" si="43">BB2+(BB2*$G$3*$G$5)+(BB2*$G$4*SQRT($G$5)*_xlfn.NORM.S.INV(RAND()))</f>
        <v>24310.007595251041</v>
      </c>
      <c r="BC3" s="18">
        <f t="shared" ref="BC3:BC24" ca="1" si="44">BC2+(BC2*$G$3*$G$5)+(BC2*$G$4*SQRT($G$5)*_xlfn.NORM.S.INV(RAND()))</f>
        <v>24134.568139097551</v>
      </c>
      <c r="BD3" s="18">
        <f t="shared" ref="BD3:BD24" ca="1" si="45">BD2+(BD2*$G$3*$G$5)+(BD2*$G$4*SQRT($G$5)*_xlfn.NORM.S.INV(RAND()))</f>
        <v>24014.61216929233</v>
      </c>
      <c r="BE3" s="18">
        <f t="shared" ref="BE3:BE24" ca="1" si="46">BE2+(BE2*$G$3*$G$5)+(BE2*$G$4*SQRT($G$5)*_xlfn.NORM.S.INV(RAND()))</f>
        <v>24477.338205862998</v>
      </c>
      <c r="BF3" s="18">
        <f t="shared" ref="BF3:BF24" ca="1" si="47">BF2+(BF2*$G$3*$G$5)+(BF2*$G$4*SQRT($G$5)*_xlfn.NORM.S.INV(RAND()))</f>
        <v>24140.46182968593</v>
      </c>
      <c r="BG3" s="18">
        <f t="shared" ref="BG3:BG24" ca="1" si="48">BG2+(BG2*$G$3*$G$5)+(BG2*$G$4*SQRT($G$5)*_xlfn.NORM.S.INV(RAND()))</f>
        <v>24552.936774836915</v>
      </c>
      <c r="BH3" s="18">
        <f t="shared" ref="BH3:BH24" ca="1" si="49">BH2+(BH2*$G$3*$G$5)+(BH2*$G$4*SQRT($G$5)*_xlfn.NORM.S.INV(RAND()))</f>
        <v>24041.60547853</v>
      </c>
      <c r="BI3" s="18">
        <f t="shared" ref="BI3:BI24" ca="1" si="50">BI2+(BI2*$G$3*$G$5)+(BI2*$G$4*SQRT($G$5)*_xlfn.NORM.S.INV(RAND()))</f>
        <v>23990.916733560596</v>
      </c>
      <c r="BJ3" s="18">
        <f t="shared" ref="BJ3:BJ24" ca="1" si="51">BJ2+(BJ2*$G$3*$G$5)+(BJ2*$G$4*SQRT($G$5)*_xlfn.NORM.S.INV(RAND()))</f>
        <v>24440.308368468886</v>
      </c>
      <c r="BK3" s="18">
        <f t="shared" ref="BK3:BK24" ca="1" si="52">BK2+(BK2*$G$3*$G$5)+(BK2*$G$4*SQRT($G$5)*_xlfn.NORM.S.INV(RAND()))</f>
        <v>23895.773083161501</v>
      </c>
      <c r="BL3" s="18">
        <f t="shared" ref="BL3:BL24" ca="1" si="53">BL2+(BL2*$G$3*$G$5)+(BL2*$G$4*SQRT($G$5)*_xlfn.NORM.S.INV(RAND()))</f>
        <v>23744.388244664791</v>
      </c>
      <c r="BM3" s="18">
        <f t="shared" ref="BM3:BM24" ca="1" si="54">BM2+(BM2*$G$3*$G$5)+(BM2*$G$4*SQRT($G$5)*_xlfn.NORM.S.INV(RAND()))</f>
        <v>23985.629645490269</v>
      </c>
      <c r="BN3" s="18">
        <f t="shared" ref="BN3:BN24" ca="1" si="55">BN2+(BN2*$G$3*$G$5)+(BN2*$G$4*SQRT($G$5)*_xlfn.NORM.S.INV(RAND()))</f>
        <v>24115.270952813884</v>
      </c>
      <c r="BO3" s="18">
        <f t="shared" ref="BO3:BO24" ca="1" si="56">BO2+(BO2*$G$3*$G$5)+(BO2*$G$4*SQRT($G$5)*_xlfn.NORM.S.INV(RAND()))</f>
        <v>24188.999722196466</v>
      </c>
      <c r="BP3" s="18">
        <f t="shared" ref="BP3:BP24" ca="1" si="57">BP2+(BP2*$G$3*$G$5)+(BP2*$G$4*SQRT($G$5)*_xlfn.NORM.S.INV(RAND()))</f>
        <v>23910.575224609671</v>
      </c>
      <c r="BQ3" s="18">
        <f t="shared" ref="BQ3:BQ24" ca="1" si="58">BQ2+(BQ2*$G$3*$G$5)+(BQ2*$G$4*SQRT($G$5)*_xlfn.NORM.S.INV(RAND()))</f>
        <v>23973.743738539666</v>
      </c>
      <c r="BR3" s="18">
        <f t="shared" ref="BR3:BR24" ca="1" si="59">BR2+(BR2*$G$3*$G$5)+(BR2*$G$4*SQRT($G$5)*_xlfn.NORM.S.INV(RAND()))</f>
        <v>24318.402048479835</v>
      </c>
      <c r="BS3" s="18">
        <f t="shared" ref="BS3:BS24" ca="1" si="60">BS2+(BS2*$G$3*$G$5)+(BS2*$G$4*SQRT($G$5)*_xlfn.NORM.S.INV(RAND()))</f>
        <v>23967.458016220073</v>
      </c>
      <c r="BT3" s="18">
        <f t="shared" ref="BT3:BT24" ca="1" si="61">BT2+(BT2*$G$3*$G$5)+(BT2*$G$4*SQRT($G$5)*_xlfn.NORM.S.INV(RAND()))</f>
        <v>24003.902849491638</v>
      </c>
      <c r="BU3" s="18">
        <f t="shared" ref="BU3:BU24" ca="1" si="62">BU2+(BU2*$G$3*$G$5)+(BU2*$G$4*SQRT($G$5)*_xlfn.NORM.S.INV(RAND()))</f>
        <v>24419.460524607588</v>
      </c>
      <c r="BV3" s="18">
        <f t="shared" ref="BV3:BV24" ca="1" si="63">BV2+(BV2*$G$3*$G$5)+(BV2*$G$4*SQRT($G$5)*_xlfn.NORM.S.INV(RAND()))</f>
        <v>23851.52665862938</v>
      </c>
      <c r="BW3" s="18">
        <f t="shared" ref="BW3:BW24" ca="1" si="64">BW2+(BW2*$G$3*$G$5)+(BW2*$G$4*SQRT($G$5)*_xlfn.NORM.S.INV(RAND()))</f>
        <v>23833.418557402663</v>
      </c>
      <c r="BX3" s="18">
        <f t="shared" ref="BX3:BX24" ca="1" si="65">BX2+(BX2*$G$3*$G$5)+(BX2*$G$4*SQRT($G$5)*_xlfn.NORM.S.INV(RAND()))</f>
        <v>24074.88630958688</v>
      </c>
      <c r="BY3" s="18">
        <f t="shared" ref="BY3:BY24" ca="1" si="66">BY2+(BY2*$G$3*$G$5)+(BY2*$G$4*SQRT($G$5)*_xlfn.NORM.S.INV(RAND()))</f>
        <v>24062.135811542834</v>
      </c>
      <c r="BZ3" s="18">
        <f t="shared" ref="BZ3:BZ24" ca="1" si="67">BZ2+(BZ2*$G$3*$G$5)+(BZ2*$G$4*SQRT($G$5)*_xlfn.NORM.S.INV(RAND()))</f>
        <v>23754.403707506302</v>
      </c>
      <c r="CA3" s="18">
        <f t="shared" ref="CA3:CA24" ca="1" si="68">CA2+(CA2*$G$3*$G$5)+(CA2*$G$4*SQRT($G$5)*_xlfn.NORM.S.INV(RAND()))</f>
        <v>24233.646970313559</v>
      </c>
      <c r="CB3" s="18">
        <f t="shared" ref="CB3:CB24" ca="1" si="69">CB2+(CB2*$G$3*$G$5)+(CB2*$G$4*SQRT($G$5)*_xlfn.NORM.S.INV(RAND()))</f>
        <v>24273.912741916331</v>
      </c>
      <c r="CC3" s="18">
        <f t="shared" ref="CC3:CC24" ca="1" si="70">CC2+(CC2*$G$3*$G$5)+(CC2*$G$4*SQRT($G$5)*_xlfn.NORM.S.INV(RAND()))</f>
        <v>24123.493328591758</v>
      </c>
      <c r="CD3" s="18">
        <f t="shared" ref="CD3:CD24" ca="1" si="71">CD2+(CD2*$G$3*$G$5)+(CD2*$G$4*SQRT($G$5)*_xlfn.NORM.S.INV(RAND()))</f>
        <v>24172.559048467021</v>
      </c>
      <c r="CE3" s="18">
        <f t="shared" ref="CE3:CE24" ca="1" si="72">CE2+(CE2*$G$3*$G$5)+(CE2*$G$4*SQRT($G$5)*_xlfn.NORM.S.INV(RAND()))</f>
        <v>24417.033712530403</v>
      </c>
      <c r="CF3" s="18">
        <f t="shared" ref="CF3:CF24" ca="1" si="73">CF2+(CF2*$G$3*$G$5)+(CF2*$G$4*SQRT($G$5)*_xlfn.NORM.S.INV(RAND()))</f>
        <v>24169.128630411982</v>
      </c>
      <c r="CG3" s="18">
        <f t="shared" ref="CG3:CG24" ca="1" si="74">CG2+(CG2*$G$3*$G$5)+(CG2*$G$4*SQRT($G$5)*_xlfn.NORM.S.INV(RAND()))</f>
        <v>24431.574267933207</v>
      </c>
      <c r="CH3" s="18">
        <f t="shared" ref="CH3:CH24" ca="1" si="75">CH2+(CH2*$G$3*$G$5)+(CH2*$G$4*SQRT($G$5)*_xlfn.NORM.S.INV(RAND()))</f>
        <v>23736.373732286855</v>
      </c>
      <c r="CI3" s="18">
        <f t="shared" ref="CI3:CI24" ca="1" si="76">CI2+(CI2*$G$3*$G$5)+(CI2*$G$4*SQRT($G$5)*_xlfn.NORM.S.INV(RAND()))</f>
        <v>24175.816584892091</v>
      </c>
      <c r="CJ3" s="18">
        <f t="shared" ref="CJ3:CJ24" ca="1" si="77">CJ2+(CJ2*$G$3*$G$5)+(CJ2*$G$4*SQRT($G$5)*_xlfn.NORM.S.INV(RAND()))</f>
        <v>24221.43469556556</v>
      </c>
      <c r="CK3" s="18">
        <f t="shared" ref="CK3:CK24" ca="1" si="78">CK2+(CK2*$G$3*$G$5)+(CK2*$G$4*SQRT($G$5)*_xlfn.NORM.S.INV(RAND()))</f>
        <v>24424.162972074329</v>
      </c>
      <c r="CL3" s="18">
        <f t="shared" ref="CL3:CL24" ca="1" si="79">CL2+(CL2*$G$3*$G$5)+(CL2*$G$4*SQRT($G$5)*_xlfn.NORM.S.INV(RAND()))</f>
        <v>23989.92432491577</v>
      </c>
      <c r="CM3" s="18">
        <f t="shared" ref="CM3:CM24" ca="1" si="80">CM2+(CM2*$G$3*$G$5)+(CM2*$G$4*SQRT($G$5)*_xlfn.NORM.S.INV(RAND()))</f>
        <v>23848.81085765567</v>
      </c>
      <c r="CN3" s="18">
        <f t="shared" ref="CN3:CN24" ca="1" si="81">CN2+(CN2*$G$3*$G$5)+(CN2*$G$4*SQRT($G$5)*_xlfn.NORM.S.INV(RAND()))</f>
        <v>24368.761138863978</v>
      </c>
      <c r="CO3" s="18">
        <f t="shared" ref="CO3:CO24" ca="1" si="82">CO2+(CO2*$G$3*$G$5)+(CO2*$G$4*SQRT($G$5)*_xlfn.NORM.S.INV(RAND()))</f>
        <v>24235.685530563958</v>
      </c>
      <c r="CP3" s="18">
        <f t="shared" ref="CP3:CP24" ca="1" si="83">CP2+(CP2*$G$3*$G$5)+(CP2*$G$4*SQRT($G$5)*_xlfn.NORM.S.INV(RAND()))</f>
        <v>24353.525439962599</v>
      </c>
      <c r="CQ3" s="18">
        <f t="shared" ref="CQ3:CQ24" ca="1" si="84">CQ2+(CQ2*$G$3*$G$5)+(CQ2*$G$4*SQRT($G$5)*_xlfn.NORM.S.INV(RAND()))</f>
        <v>23873.026196494742</v>
      </c>
      <c r="CR3" s="18">
        <f t="shared" ref="CR3:CR24" ca="1" si="85">CR2+(CR2*$G$3*$G$5)+(CR2*$G$4*SQRT($G$5)*_xlfn.NORM.S.INV(RAND()))</f>
        <v>24057.671829240568</v>
      </c>
      <c r="CS3" s="18">
        <f t="shared" ref="CS3:CS24" ca="1" si="86">CS2+(CS2*$G$3*$G$5)+(CS2*$G$4*SQRT($G$5)*_xlfn.NORM.S.INV(RAND()))</f>
        <v>24097.683417112199</v>
      </c>
      <c r="CT3" s="18">
        <f t="shared" ref="CT3:CT24" ca="1" si="87">CT2+(CT2*$G$3*$G$5)+(CT2*$G$4*SQRT($G$5)*_xlfn.NORM.S.INV(RAND()))</f>
        <v>24015.083871493058</v>
      </c>
      <c r="CU3" s="18">
        <f t="shared" ref="CU3:CU24" ca="1" si="88">CU2+(CU2*$G$3*$G$5)+(CU2*$G$4*SQRT($G$5)*_xlfn.NORM.S.INV(RAND()))</f>
        <v>23707.175064832798</v>
      </c>
      <c r="CV3" s="18">
        <f t="shared" ref="CV3:CV24" ca="1" si="89">CV2+(CV2*$G$3*$G$5)+(CV2*$G$4*SQRT($G$5)*_xlfn.NORM.S.INV(RAND()))</f>
        <v>24171.199707731794</v>
      </c>
      <c r="CW3" s="18">
        <f t="shared" ref="CW3:CW24" ca="1" si="90">CW2+(CW2*$G$3*$G$5)+(CW2*$G$4*SQRT($G$5)*_xlfn.NORM.S.INV(RAND()))</f>
        <v>24094.731854235528</v>
      </c>
      <c r="CX3" s="18">
        <f t="shared" ref="CX3:CX24" ca="1" si="91">CX2+(CX2*$G$3*$G$5)+(CX2*$G$4*SQRT($G$5)*_xlfn.NORM.S.INV(RAND()))</f>
        <v>24152.686883912014</v>
      </c>
      <c r="CY3" s="18">
        <f t="shared" ref="CY3:CY24" ca="1" si="92">CY2+(CY2*$G$3*$G$5)+(CY2*$G$4*SQRT($G$5)*_xlfn.NORM.S.INV(RAND()))</f>
        <v>24356.10667795307</v>
      </c>
      <c r="CZ3" s="18">
        <f t="shared" ref="CZ3:CZ24" ca="1" si="93">CZ2+(CZ2*$G$3*$G$5)+(CZ2*$G$4*SQRT($G$5)*_xlfn.NORM.S.INV(RAND()))</f>
        <v>24110.875010324053</v>
      </c>
      <c r="DA3" s="18">
        <f t="shared" ref="DA3:DA24" ca="1" si="94">DA2+(DA2*$G$3*$G$5)+(DA2*$G$4*SQRT($G$5)*_xlfn.NORM.S.INV(RAND()))</f>
        <v>24386.582400222716</v>
      </c>
      <c r="DB3" s="18">
        <f t="shared" ref="DB3:DB24" ca="1" si="95">DB2+(DB2*$G$3*$G$5)+(DB2*$G$4*SQRT($G$5)*_xlfn.NORM.S.INV(RAND()))</f>
        <v>24559.577014862902</v>
      </c>
      <c r="DC3" s="18">
        <f t="shared" ref="DC3:DC24" ca="1" si="96">DC2+(DC2*$G$3*$G$5)+(DC2*$G$4*SQRT($G$5)*_xlfn.NORM.S.INV(RAND()))</f>
        <v>24348.357320122206</v>
      </c>
      <c r="DD3" s="18">
        <f t="shared" ref="DD3:DD24" ca="1" si="97">DD2+(DD2*$G$3*$G$5)+(DD2*$G$4*SQRT($G$5)*_xlfn.NORM.S.INV(RAND()))</f>
        <v>24218.959510180823</v>
      </c>
      <c r="DE3" s="18">
        <f t="shared" ref="DE3:DE24" ca="1" si="98">DE2+(DE2*$G$3*$G$5)+(DE2*$G$4*SQRT($G$5)*_xlfn.NORM.S.INV(RAND()))</f>
        <v>24458.190090451099</v>
      </c>
      <c r="DG3" s="12" t="s">
        <v>138</v>
      </c>
      <c r="DH3" s="22">
        <f>DE2</f>
        <v>24154.9</v>
      </c>
      <c r="DI3" s="22">
        <f>DH3</f>
        <v>24154.9</v>
      </c>
    </row>
    <row r="4" spans="1:117" x14ac:dyDescent="0.35">
      <c r="A4" s="16">
        <v>44432</v>
      </c>
      <c r="B4" s="17">
        <v>16624.599999999999</v>
      </c>
      <c r="C4" s="10"/>
      <c r="D4" s="19">
        <f t="shared" si="0"/>
        <v>7.7383198591159386E-3</v>
      </c>
      <c r="F4" s="20" t="s">
        <v>32</v>
      </c>
      <c r="G4" s="19">
        <f>_xlfn.STDEV.S(D3:D1240)*SQRT(255)</f>
        <v>0.139384162288611</v>
      </c>
      <c r="I4" s="13" t="s">
        <v>7</v>
      </c>
      <c r="J4" s="18">
        <f ca="1">J3+(J3*$G$3*$G$5)+(J3*$G$4*SQRT($G$5)*_xlfn.NORM.S.INV(RAND()))</f>
        <v>24629.255374890592</v>
      </c>
      <c r="K4" s="18">
        <f t="shared" ca="1" si="1"/>
        <v>24772.425538465744</v>
      </c>
      <c r="L4" s="18">
        <f t="shared" ca="1" si="1"/>
        <v>23456.394786614303</v>
      </c>
      <c r="M4" s="18">
        <f t="shared" ca="1" si="2"/>
        <v>24483.584915830477</v>
      </c>
      <c r="N4" s="18">
        <f t="shared" ca="1" si="3"/>
        <v>24212.170327842487</v>
      </c>
      <c r="O4" s="18">
        <f t="shared" ca="1" si="4"/>
        <v>24336.472160907451</v>
      </c>
      <c r="P4" s="18">
        <f t="shared" ca="1" si="5"/>
        <v>24113.508825648671</v>
      </c>
      <c r="Q4" s="18">
        <f t="shared" ca="1" si="6"/>
        <v>24414.426439412058</v>
      </c>
      <c r="R4" s="18">
        <f t="shared" ca="1" si="7"/>
        <v>23905.215166930866</v>
      </c>
      <c r="S4" s="18">
        <f t="shared" ca="1" si="8"/>
        <v>24506.127126401159</v>
      </c>
      <c r="T4" s="18">
        <f t="shared" ca="1" si="9"/>
        <v>23975.252609730043</v>
      </c>
      <c r="U4" s="18">
        <f t="shared" ca="1" si="10"/>
        <v>24158.32460849603</v>
      </c>
      <c r="V4" s="18">
        <f t="shared" ca="1" si="11"/>
        <v>23397.117514411206</v>
      </c>
      <c r="W4" s="18">
        <f t="shared" ca="1" si="12"/>
        <v>23352.678517163618</v>
      </c>
      <c r="X4" s="18">
        <f t="shared" ca="1" si="13"/>
        <v>24660.801524230665</v>
      </c>
      <c r="Y4" s="18">
        <f t="shared" ca="1" si="14"/>
        <v>23510.4407408064</v>
      </c>
      <c r="Z4" s="18">
        <f t="shared" ca="1" si="15"/>
        <v>23781.436726409538</v>
      </c>
      <c r="AA4" s="18">
        <f t="shared" ca="1" si="16"/>
        <v>24341.809716403273</v>
      </c>
      <c r="AB4" s="18">
        <f t="shared" ca="1" si="17"/>
        <v>24354.008617132939</v>
      </c>
      <c r="AC4" s="18">
        <f t="shared" ca="1" si="18"/>
        <v>23541.831750024528</v>
      </c>
      <c r="AD4" s="18">
        <f t="shared" ca="1" si="19"/>
        <v>23849.275704256179</v>
      </c>
      <c r="AE4" s="18">
        <f t="shared" ca="1" si="20"/>
        <v>24226.740813666383</v>
      </c>
      <c r="AF4" s="18">
        <f t="shared" ca="1" si="21"/>
        <v>23966.77380965979</v>
      </c>
      <c r="AG4" s="18">
        <f t="shared" ca="1" si="22"/>
        <v>23760.046464729643</v>
      </c>
      <c r="AH4" s="18">
        <f t="shared" ca="1" si="23"/>
        <v>23958.05112503091</v>
      </c>
      <c r="AI4" s="18">
        <f t="shared" ca="1" si="24"/>
        <v>24277.130829792786</v>
      </c>
      <c r="AJ4" s="18">
        <f t="shared" ca="1" si="25"/>
        <v>24032.599988494021</v>
      </c>
      <c r="AK4" s="18">
        <f t="shared" ca="1" si="26"/>
        <v>24259.282671649187</v>
      </c>
      <c r="AL4" s="18">
        <f t="shared" ca="1" si="27"/>
        <v>24025.554367751116</v>
      </c>
      <c r="AM4" s="18">
        <f t="shared" ca="1" si="28"/>
        <v>24401.165486290203</v>
      </c>
      <c r="AN4" s="18">
        <f t="shared" ca="1" si="29"/>
        <v>24166.072421746579</v>
      </c>
      <c r="AO4" s="18">
        <f t="shared" ca="1" si="30"/>
        <v>24389.228989806292</v>
      </c>
      <c r="AP4" s="18">
        <f t="shared" ca="1" si="31"/>
        <v>23745.408866970211</v>
      </c>
      <c r="AQ4" s="18">
        <f t="shared" ca="1" si="32"/>
        <v>24660.349699200215</v>
      </c>
      <c r="AR4" s="18">
        <f t="shared" ca="1" si="33"/>
        <v>23741.006962915806</v>
      </c>
      <c r="AS4" s="18">
        <f t="shared" ca="1" si="34"/>
        <v>23922.211301505034</v>
      </c>
      <c r="AT4" s="18">
        <f t="shared" ca="1" si="35"/>
        <v>24493.066343060942</v>
      </c>
      <c r="AU4" s="18">
        <f t="shared" ca="1" si="36"/>
        <v>23978.116948527993</v>
      </c>
      <c r="AV4" s="18">
        <f t="shared" ca="1" si="37"/>
        <v>24023.468128673572</v>
      </c>
      <c r="AW4" s="18">
        <f t="shared" ca="1" si="38"/>
        <v>24065.894266285952</v>
      </c>
      <c r="AX4" s="18">
        <f t="shared" ca="1" si="39"/>
        <v>24366.163372545452</v>
      </c>
      <c r="AY4" s="18">
        <f t="shared" ca="1" si="40"/>
        <v>23813.848703033033</v>
      </c>
      <c r="AZ4" s="18">
        <f t="shared" ca="1" si="41"/>
        <v>24453.746746471232</v>
      </c>
      <c r="BA4" s="18">
        <f t="shared" ca="1" si="42"/>
        <v>24150.982789973801</v>
      </c>
      <c r="BB4" s="18">
        <f t="shared" ca="1" si="43"/>
        <v>24410.831433110096</v>
      </c>
      <c r="BC4" s="18">
        <f t="shared" ca="1" si="44"/>
        <v>24069.303464928824</v>
      </c>
      <c r="BD4" s="18">
        <f t="shared" ca="1" si="45"/>
        <v>23983.776561883078</v>
      </c>
      <c r="BE4" s="18">
        <f t="shared" ca="1" si="46"/>
        <v>24632.191573623622</v>
      </c>
      <c r="BF4" s="18">
        <f t="shared" ca="1" si="47"/>
        <v>24241.121075539264</v>
      </c>
      <c r="BG4" s="18">
        <f t="shared" ca="1" si="48"/>
        <v>24351.412777272049</v>
      </c>
      <c r="BH4" s="18">
        <f t="shared" ca="1" si="49"/>
        <v>23981.037109454763</v>
      </c>
      <c r="BI4" s="18">
        <f t="shared" ca="1" si="50"/>
        <v>24102.378779685328</v>
      </c>
      <c r="BJ4" s="18">
        <f t="shared" ca="1" si="51"/>
        <v>24252.054372170966</v>
      </c>
      <c r="BK4" s="18">
        <f t="shared" ca="1" si="52"/>
        <v>23823.092356747926</v>
      </c>
      <c r="BL4" s="18">
        <f t="shared" ca="1" si="53"/>
        <v>23882.360709505196</v>
      </c>
      <c r="BM4" s="18">
        <f t="shared" ca="1" si="54"/>
        <v>23958.824731698925</v>
      </c>
      <c r="BN4" s="18">
        <f t="shared" ca="1" si="55"/>
        <v>24006.989255889283</v>
      </c>
      <c r="BO4" s="18">
        <f t="shared" ca="1" si="56"/>
        <v>24259.854457096302</v>
      </c>
      <c r="BP4" s="18">
        <f t="shared" ca="1" si="57"/>
        <v>23971.703039969325</v>
      </c>
      <c r="BQ4" s="18">
        <f t="shared" ca="1" si="58"/>
        <v>23989.036680235142</v>
      </c>
      <c r="BR4" s="18">
        <f t="shared" ca="1" si="59"/>
        <v>24199.614777230654</v>
      </c>
      <c r="BS4" s="18">
        <f t="shared" ca="1" si="60"/>
        <v>23681.939922967802</v>
      </c>
      <c r="BT4" s="18">
        <f t="shared" ca="1" si="61"/>
        <v>24082.033526899275</v>
      </c>
      <c r="BU4" s="18">
        <f t="shared" ca="1" si="62"/>
        <v>24747.288050099753</v>
      </c>
      <c r="BV4" s="18">
        <f t="shared" ca="1" si="63"/>
        <v>23847.987923700795</v>
      </c>
      <c r="BW4" s="18">
        <f t="shared" ca="1" si="64"/>
        <v>24363.695838599444</v>
      </c>
      <c r="BX4" s="18">
        <f t="shared" ca="1" si="65"/>
        <v>24144.073815995871</v>
      </c>
      <c r="BY4" s="18">
        <f t="shared" ca="1" si="66"/>
        <v>24008.522768007348</v>
      </c>
      <c r="BZ4" s="18">
        <f t="shared" ca="1" si="67"/>
        <v>23485.392404926231</v>
      </c>
      <c r="CA4" s="18">
        <f t="shared" ca="1" si="68"/>
        <v>24056.151494067723</v>
      </c>
      <c r="CB4" s="18">
        <f t="shared" ca="1" si="69"/>
        <v>24052.263050465666</v>
      </c>
      <c r="CC4" s="18">
        <f t="shared" ca="1" si="70"/>
        <v>24009.899485013117</v>
      </c>
      <c r="CD4" s="18">
        <f t="shared" ca="1" si="71"/>
        <v>24273.260078552416</v>
      </c>
      <c r="CE4" s="18">
        <f t="shared" ca="1" si="72"/>
        <v>24249.386824344099</v>
      </c>
      <c r="CF4" s="18">
        <f t="shared" ca="1" si="73"/>
        <v>24122.586922031307</v>
      </c>
      <c r="CG4" s="18">
        <f t="shared" ca="1" si="74"/>
        <v>24133.4976376128</v>
      </c>
      <c r="CH4" s="18">
        <f t="shared" ca="1" si="75"/>
        <v>23855.208141087176</v>
      </c>
      <c r="CI4" s="18">
        <f t="shared" ca="1" si="76"/>
        <v>24368.276899775075</v>
      </c>
      <c r="CJ4" s="18">
        <f t="shared" ca="1" si="77"/>
        <v>24051.956770032266</v>
      </c>
      <c r="CK4" s="18">
        <f t="shared" ca="1" si="78"/>
        <v>23917.663160034088</v>
      </c>
      <c r="CL4" s="18">
        <f t="shared" ca="1" si="79"/>
        <v>24207.891403266261</v>
      </c>
      <c r="CM4" s="18">
        <f t="shared" ca="1" si="80"/>
        <v>24057.05267149732</v>
      </c>
      <c r="CN4" s="18">
        <f t="shared" ca="1" si="81"/>
        <v>24391.691774484971</v>
      </c>
      <c r="CO4" s="18">
        <f t="shared" ca="1" si="82"/>
        <v>24309.811707303536</v>
      </c>
      <c r="CP4" s="18">
        <f t="shared" ca="1" si="83"/>
        <v>24346.614304204944</v>
      </c>
      <c r="CQ4" s="18">
        <f t="shared" ca="1" si="84"/>
        <v>24150.010632399542</v>
      </c>
      <c r="CR4" s="18">
        <f t="shared" ca="1" si="85"/>
        <v>23517.332311685532</v>
      </c>
      <c r="CS4" s="18">
        <f t="shared" ca="1" si="86"/>
        <v>23727.293567533859</v>
      </c>
      <c r="CT4" s="18">
        <f t="shared" ca="1" si="87"/>
        <v>23990.211334826599</v>
      </c>
      <c r="CU4" s="18">
        <f t="shared" ca="1" si="88"/>
        <v>24201.875590152285</v>
      </c>
      <c r="CV4" s="18">
        <f t="shared" ca="1" si="89"/>
        <v>24144.743232621338</v>
      </c>
      <c r="CW4" s="18">
        <f t="shared" ca="1" si="90"/>
        <v>23957.687879942099</v>
      </c>
      <c r="CX4" s="18">
        <f t="shared" ca="1" si="91"/>
        <v>24453.537866444254</v>
      </c>
      <c r="CY4" s="18">
        <f t="shared" ca="1" si="92"/>
        <v>24796.573810023419</v>
      </c>
      <c r="CZ4" s="18">
        <f t="shared" ca="1" si="93"/>
        <v>23986.693295282141</v>
      </c>
      <c r="DA4" s="18">
        <f t="shared" ca="1" si="94"/>
        <v>24456.299027232773</v>
      </c>
      <c r="DB4" s="18">
        <f t="shared" ca="1" si="95"/>
        <v>24756.321029349929</v>
      </c>
      <c r="DC4" s="18">
        <f t="shared" ca="1" si="96"/>
        <v>24529.055447389677</v>
      </c>
      <c r="DD4" s="18">
        <f t="shared" ca="1" si="97"/>
        <v>24421.057342426851</v>
      </c>
      <c r="DE4" s="18">
        <f t="shared" ca="1" si="98"/>
        <v>24792.930885454913</v>
      </c>
      <c r="DG4" s="12" t="s">
        <v>139</v>
      </c>
      <c r="DH4" s="12">
        <v>24200</v>
      </c>
      <c r="DI4" s="12">
        <f>DH4</f>
        <v>24200</v>
      </c>
    </row>
    <row r="5" spans="1:117" x14ac:dyDescent="0.35">
      <c r="A5" s="16">
        <v>44433</v>
      </c>
      <c r="B5" s="17">
        <v>16634.650000000001</v>
      </c>
      <c r="C5" s="10"/>
      <c r="D5" s="19">
        <f t="shared" si="0"/>
        <v>6.0434317105073718E-4</v>
      </c>
      <c r="F5" s="20" t="s">
        <v>33</v>
      </c>
      <c r="G5" s="23">
        <f>1/255</f>
        <v>3.9215686274509803E-3</v>
      </c>
      <c r="I5" s="13" t="s">
        <v>8</v>
      </c>
      <c r="J5" s="18">
        <f t="shared" ref="J5:J8" ca="1" si="99">J4+(J4*$G$3*$G$5)+(J4*$G$4*SQRT($G$5)*_xlfn.NORM.S.INV(RAND()))</f>
        <v>24850.402739506168</v>
      </c>
      <c r="K5" s="18">
        <f t="shared" ca="1" si="1"/>
        <v>24945.282539279713</v>
      </c>
      <c r="L5" s="18">
        <f t="shared" ca="1" si="1"/>
        <v>23102.512165218996</v>
      </c>
      <c r="M5" s="18">
        <f t="shared" ca="1" si="2"/>
        <v>24527.932181324693</v>
      </c>
      <c r="N5" s="18">
        <f t="shared" ca="1" si="3"/>
        <v>24269.3242225658</v>
      </c>
      <c r="O5" s="18">
        <f t="shared" ca="1" si="4"/>
        <v>24548.427703896363</v>
      </c>
      <c r="P5" s="18">
        <f t="shared" ca="1" si="5"/>
        <v>23770.619365974631</v>
      </c>
      <c r="Q5" s="18">
        <f t="shared" ca="1" si="6"/>
        <v>24529.993397073897</v>
      </c>
      <c r="R5" s="18">
        <f t="shared" ca="1" si="7"/>
        <v>24081.736226912759</v>
      </c>
      <c r="S5" s="18">
        <f t="shared" ca="1" si="8"/>
        <v>24274.345211521668</v>
      </c>
      <c r="T5" s="18">
        <f t="shared" ca="1" si="9"/>
        <v>24034.862211555916</v>
      </c>
      <c r="U5" s="18">
        <f t="shared" ca="1" si="10"/>
        <v>24218.298748128891</v>
      </c>
      <c r="V5" s="18">
        <f t="shared" ca="1" si="11"/>
        <v>23386.034069301946</v>
      </c>
      <c r="W5" s="18">
        <f t="shared" ca="1" si="12"/>
        <v>23623.761056026568</v>
      </c>
      <c r="X5" s="18">
        <f t="shared" ca="1" si="13"/>
        <v>24889.966388809087</v>
      </c>
      <c r="Y5" s="18">
        <f t="shared" ca="1" si="14"/>
        <v>23573.880721994672</v>
      </c>
      <c r="Z5" s="18">
        <f t="shared" ca="1" si="15"/>
        <v>23585.180272491045</v>
      </c>
      <c r="AA5" s="18">
        <f t="shared" ca="1" si="16"/>
        <v>24419.26196264202</v>
      </c>
      <c r="AB5" s="18">
        <f t="shared" ca="1" si="17"/>
        <v>24563.72251819884</v>
      </c>
      <c r="AC5" s="18">
        <f t="shared" ca="1" si="18"/>
        <v>23566.819034368458</v>
      </c>
      <c r="AD5" s="18">
        <f t="shared" ca="1" si="19"/>
        <v>23583.456240746997</v>
      </c>
      <c r="AE5" s="18">
        <f t="shared" ca="1" si="20"/>
        <v>24453.210052324921</v>
      </c>
      <c r="AF5" s="18">
        <f t="shared" ca="1" si="21"/>
        <v>24307.534130800766</v>
      </c>
      <c r="AG5" s="18">
        <f t="shared" ca="1" si="22"/>
        <v>23661.070223016675</v>
      </c>
      <c r="AH5" s="18">
        <f t="shared" ca="1" si="23"/>
        <v>24301.132784062538</v>
      </c>
      <c r="AI5" s="18">
        <f t="shared" ca="1" si="24"/>
        <v>24274.048784485265</v>
      </c>
      <c r="AJ5" s="18">
        <f t="shared" ca="1" si="25"/>
        <v>24128.687066070041</v>
      </c>
      <c r="AK5" s="18">
        <f t="shared" ca="1" si="26"/>
        <v>23860.731080960144</v>
      </c>
      <c r="AL5" s="18">
        <f t="shared" ca="1" si="27"/>
        <v>23892.144787203921</v>
      </c>
      <c r="AM5" s="18">
        <f t="shared" ca="1" si="28"/>
        <v>24223.591865524231</v>
      </c>
      <c r="AN5" s="18">
        <f t="shared" ca="1" si="29"/>
        <v>24076.638202392995</v>
      </c>
      <c r="AO5" s="18">
        <f t="shared" ca="1" si="30"/>
        <v>24435.3339312799</v>
      </c>
      <c r="AP5" s="18">
        <f t="shared" ca="1" si="31"/>
        <v>23834.379744016362</v>
      </c>
      <c r="AQ5" s="18">
        <f t="shared" ca="1" si="32"/>
        <v>24281.734775467936</v>
      </c>
      <c r="AR5" s="18">
        <f t="shared" ca="1" si="33"/>
        <v>23990.256993858347</v>
      </c>
      <c r="AS5" s="18">
        <f t="shared" ca="1" si="34"/>
        <v>23926.442138989645</v>
      </c>
      <c r="AT5" s="18">
        <f t="shared" ca="1" si="35"/>
        <v>24226.10403937949</v>
      </c>
      <c r="AU5" s="18">
        <f t="shared" ca="1" si="36"/>
        <v>24159.199004915634</v>
      </c>
      <c r="AV5" s="18">
        <f t="shared" ca="1" si="37"/>
        <v>24034.378336327867</v>
      </c>
      <c r="AW5" s="18">
        <f t="shared" ca="1" si="38"/>
        <v>24252.123399461965</v>
      </c>
      <c r="AX5" s="18">
        <f t="shared" ca="1" si="39"/>
        <v>24415.875131693349</v>
      </c>
      <c r="AY5" s="18">
        <f t="shared" ca="1" si="40"/>
        <v>24012.778796664901</v>
      </c>
      <c r="AZ5" s="18">
        <f t="shared" ca="1" si="41"/>
        <v>24628.132986210549</v>
      </c>
      <c r="BA5" s="18">
        <f t="shared" ca="1" si="42"/>
        <v>24468.583189763835</v>
      </c>
      <c r="BB5" s="18">
        <f t="shared" ca="1" si="43"/>
        <v>24623.857144243422</v>
      </c>
      <c r="BC5" s="18">
        <f t="shared" ca="1" si="44"/>
        <v>23892.691774343817</v>
      </c>
      <c r="BD5" s="18">
        <f t="shared" ca="1" si="45"/>
        <v>24179.757592334769</v>
      </c>
      <c r="BE5" s="18">
        <f t="shared" ca="1" si="46"/>
        <v>24560.171285082699</v>
      </c>
      <c r="BF5" s="18">
        <f t="shared" ca="1" si="47"/>
        <v>24391.316699957326</v>
      </c>
      <c r="BG5" s="18">
        <f t="shared" ca="1" si="48"/>
        <v>24078.829158253953</v>
      </c>
      <c r="BH5" s="18">
        <f t="shared" ca="1" si="49"/>
        <v>23915.527702303756</v>
      </c>
      <c r="BI5" s="18">
        <f t="shared" ca="1" si="50"/>
        <v>24430.063628758609</v>
      </c>
      <c r="BJ5" s="18">
        <f t="shared" ca="1" si="51"/>
        <v>24005.685525286266</v>
      </c>
      <c r="BK5" s="18">
        <f t="shared" ca="1" si="52"/>
        <v>24284.650889080011</v>
      </c>
      <c r="BL5" s="18">
        <f t="shared" ca="1" si="53"/>
        <v>23941.359080423787</v>
      </c>
      <c r="BM5" s="18">
        <f t="shared" ca="1" si="54"/>
        <v>23404.241212298726</v>
      </c>
      <c r="BN5" s="18">
        <f t="shared" ca="1" si="55"/>
        <v>24015.315378514359</v>
      </c>
      <c r="BO5" s="18">
        <f t="shared" ca="1" si="56"/>
        <v>24155.540021839424</v>
      </c>
      <c r="BP5" s="18">
        <f t="shared" ca="1" si="57"/>
        <v>23568.995673849757</v>
      </c>
      <c r="BQ5" s="18">
        <f t="shared" ca="1" si="58"/>
        <v>24264.43517848503</v>
      </c>
      <c r="BR5" s="18">
        <f t="shared" ca="1" si="59"/>
        <v>24038.47962707057</v>
      </c>
      <c r="BS5" s="18">
        <f t="shared" ca="1" si="60"/>
        <v>23522.37930438916</v>
      </c>
      <c r="BT5" s="18">
        <f t="shared" ca="1" si="61"/>
        <v>24321.987014362901</v>
      </c>
      <c r="BU5" s="18">
        <f t="shared" ca="1" si="62"/>
        <v>24966.824688040426</v>
      </c>
      <c r="BV5" s="18">
        <f t="shared" ca="1" si="63"/>
        <v>23639.565235307728</v>
      </c>
      <c r="BW5" s="18">
        <f t="shared" ca="1" si="64"/>
        <v>24670.755102811665</v>
      </c>
      <c r="BX5" s="18">
        <f t="shared" ca="1" si="65"/>
        <v>23918.520586884617</v>
      </c>
      <c r="BY5" s="18">
        <f t="shared" ca="1" si="66"/>
        <v>24355.533314310665</v>
      </c>
      <c r="BZ5" s="18">
        <f t="shared" ca="1" si="67"/>
        <v>23852.459957899631</v>
      </c>
      <c r="CA5" s="18">
        <f t="shared" ca="1" si="68"/>
        <v>23919.95401125848</v>
      </c>
      <c r="CB5" s="18">
        <f t="shared" ca="1" si="69"/>
        <v>24026.952580655565</v>
      </c>
      <c r="CC5" s="18">
        <f t="shared" ca="1" si="70"/>
        <v>24232.758334943319</v>
      </c>
      <c r="CD5" s="18">
        <f t="shared" ca="1" si="71"/>
        <v>24239.266141121509</v>
      </c>
      <c r="CE5" s="18">
        <f t="shared" ca="1" si="72"/>
        <v>24357.632569050464</v>
      </c>
      <c r="CF5" s="18">
        <f t="shared" ca="1" si="73"/>
        <v>24091.829946098467</v>
      </c>
      <c r="CG5" s="18">
        <f t="shared" ca="1" si="74"/>
        <v>24027.480843117271</v>
      </c>
      <c r="CH5" s="18">
        <f t="shared" ca="1" si="75"/>
        <v>23577.278540300558</v>
      </c>
      <c r="CI5" s="18">
        <f t="shared" ca="1" si="76"/>
        <v>24210.156061477679</v>
      </c>
      <c r="CJ5" s="18">
        <f t="shared" ca="1" si="77"/>
        <v>23739.771371288381</v>
      </c>
      <c r="CK5" s="18">
        <f t="shared" ca="1" si="78"/>
        <v>23868.704037270552</v>
      </c>
      <c r="CL5" s="18">
        <f t="shared" ca="1" si="79"/>
        <v>24138.653234620855</v>
      </c>
      <c r="CM5" s="18">
        <f t="shared" ca="1" si="80"/>
        <v>24281.708775418567</v>
      </c>
      <c r="CN5" s="18">
        <f t="shared" ca="1" si="81"/>
        <v>24263.335794002203</v>
      </c>
      <c r="CO5" s="18">
        <f t="shared" ca="1" si="82"/>
        <v>24333.727584523036</v>
      </c>
      <c r="CP5" s="18">
        <f t="shared" ca="1" si="83"/>
        <v>24198.228269123458</v>
      </c>
      <c r="CQ5" s="18">
        <f t="shared" ca="1" si="84"/>
        <v>24144.605657491105</v>
      </c>
      <c r="CR5" s="18">
        <f t="shared" ca="1" si="85"/>
        <v>23486.64247446377</v>
      </c>
      <c r="CS5" s="18">
        <f t="shared" ca="1" si="86"/>
        <v>23495.625202003583</v>
      </c>
      <c r="CT5" s="18">
        <f t="shared" ca="1" si="87"/>
        <v>24222.271880042459</v>
      </c>
      <c r="CU5" s="18">
        <f t="shared" ca="1" si="88"/>
        <v>24313.19024879035</v>
      </c>
      <c r="CV5" s="18">
        <f t="shared" ca="1" si="89"/>
        <v>24174.740724038715</v>
      </c>
      <c r="CW5" s="18">
        <f t="shared" ca="1" si="90"/>
        <v>24043.09233957273</v>
      </c>
      <c r="CX5" s="18">
        <f t="shared" ca="1" si="91"/>
        <v>24424.577140457131</v>
      </c>
      <c r="CY5" s="18">
        <f t="shared" ca="1" si="92"/>
        <v>24718.471068113089</v>
      </c>
      <c r="CZ5" s="18">
        <f t="shared" ca="1" si="93"/>
        <v>23912.20892327738</v>
      </c>
      <c r="DA5" s="18">
        <f t="shared" ca="1" si="94"/>
        <v>24424.754407831973</v>
      </c>
      <c r="DB5" s="18">
        <f t="shared" ca="1" si="95"/>
        <v>24564.944587409787</v>
      </c>
      <c r="DC5" s="18">
        <f t="shared" ca="1" si="96"/>
        <v>24652.328656401882</v>
      </c>
      <c r="DD5" s="18">
        <f t="shared" ca="1" si="97"/>
        <v>24297.730237006246</v>
      </c>
      <c r="DE5" s="18">
        <f t="shared" ca="1" si="98"/>
        <v>24801.243020614351</v>
      </c>
      <c r="DG5" s="12" t="s">
        <v>140</v>
      </c>
      <c r="DH5" s="24">
        <v>0.05</v>
      </c>
      <c r="DI5" s="24">
        <f>DH5</f>
        <v>0.05</v>
      </c>
    </row>
    <row r="6" spans="1:117" x14ac:dyDescent="0.35">
      <c r="A6" s="16">
        <v>44434</v>
      </c>
      <c r="B6" s="17">
        <v>16636.900000000001</v>
      </c>
      <c r="C6" s="10"/>
      <c r="D6" s="19">
        <f t="shared" si="0"/>
        <v>1.3525068735473022E-4</v>
      </c>
      <c r="E6" s="34" t="e" vm="1">
        <v>#VALUE!</v>
      </c>
      <c r="F6" s="34"/>
      <c r="G6" s="34"/>
      <c r="H6" s="34"/>
      <c r="I6" s="13" t="s">
        <v>9</v>
      </c>
      <c r="J6" s="18">
        <f t="shared" ca="1" si="99"/>
        <v>24822.301242148387</v>
      </c>
      <c r="K6" s="18">
        <f t="shared" ca="1" si="1"/>
        <v>24670.956399322906</v>
      </c>
      <c r="L6" s="18">
        <f t="shared" ca="1" si="1"/>
        <v>23002.258402489595</v>
      </c>
      <c r="M6" s="18">
        <f t="shared" ca="1" si="2"/>
        <v>24688.566006776644</v>
      </c>
      <c r="N6" s="18">
        <f t="shared" ca="1" si="3"/>
        <v>24558.872987974202</v>
      </c>
      <c r="O6" s="18">
        <f t="shared" ca="1" si="4"/>
        <v>24575.370761956656</v>
      </c>
      <c r="P6" s="18">
        <f t="shared" ca="1" si="5"/>
        <v>24035.642949129629</v>
      </c>
      <c r="Q6" s="18">
        <f t="shared" ca="1" si="6"/>
        <v>24510.743067147672</v>
      </c>
      <c r="R6" s="18">
        <f t="shared" ca="1" si="7"/>
        <v>24204.121841777975</v>
      </c>
      <c r="S6" s="18">
        <f t="shared" ca="1" si="8"/>
        <v>24259.959067773041</v>
      </c>
      <c r="T6" s="18">
        <f t="shared" ca="1" si="9"/>
        <v>23872.999538705037</v>
      </c>
      <c r="U6" s="18">
        <f t="shared" ca="1" si="10"/>
        <v>24397.966087904781</v>
      </c>
      <c r="V6" s="18">
        <f t="shared" ca="1" si="11"/>
        <v>23463.0248095924</v>
      </c>
      <c r="W6" s="18">
        <f t="shared" ca="1" si="12"/>
        <v>23277.320172011205</v>
      </c>
      <c r="X6" s="18">
        <f t="shared" ca="1" si="13"/>
        <v>25123.446958675253</v>
      </c>
      <c r="Y6" s="18">
        <f t="shared" ca="1" si="14"/>
        <v>23845.84664400023</v>
      </c>
      <c r="Z6" s="18">
        <f t="shared" ca="1" si="15"/>
        <v>23602.568335409756</v>
      </c>
      <c r="AA6" s="18">
        <f t="shared" ca="1" si="16"/>
        <v>24073.076712747999</v>
      </c>
      <c r="AB6" s="18">
        <f t="shared" ca="1" si="17"/>
        <v>24877.722884527957</v>
      </c>
      <c r="AC6" s="18">
        <f t="shared" ca="1" si="18"/>
        <v>23316.593168377312</v>
      </c>
      <c r="AD6" s="18">
        <f t="shared" ca="1" si="19"/>
        <v>23639.425007868656</v>
      </c>
      <c r="AE6" s="18">
        <f t="shared" ca="1" si="20"/>
        <v>24347.253262602444</v>
      </c>
      <c r="AF6" s="18">
        <f t="shared" ca="1" si="21"/>
        <v>24149.092788734306</v>
      </c>
      <c r="AG6" s="18">
        <f t="shared" ca="1" si="22"/>
        <v>23499.354690837779</v>
      </c>
      <c r="AH6" s="18">
        <f t="shared" ca="1" si="23"/>
        <v>24436.151911296391</v>
      </c>
      <c r="AI6" s="18">
        <f t="shared" ca="1" si="24"/>
        <v>24389.936571728311</v>
      </c>
      <c r="AJ6" s="18">
        <f t="shared" ca="1" si="25"/>
        <v>23924.522983319068</v>
      </c>
      <c r="AK6" s="18">
        <f t="shared" ca="1" si="26"/>
        <v>24589.75698793535</v>
      </c>
      <c r="AL6" s="18">
        <f t="shared" ca="1" si="27"/>
        <v>23711.430209721555</v>
      </c>
      <c r="AM6" s="18">
        <f t="shared" ca="1" si="28"/>
        <v>24059.59547328886</v>
      </c>
      <c r="AN6" s="18">
        <f t="shared" ca="1" si="29"/>
        <v>24217.234824453219</v>
      </c>
      <c r="AO6" s="18">
        <f t="shared" ca="1" si="30"/>
        <v>24899.346945273548</v>
      </c>
      <c r="AP6" s="18">
        <f t="shared" ca="1" si="31"/>
        <v>23574.483806687516</v>
      </c>
      <c r="AQ6" s="18">
        <f t="shared" ca="1" si="32"/>
        <v>24211.346710622573</v>
      </c>
      <c r="AR6" s="18">
        <f t="shared" ca="1" si="33"/>
        <v>24217.040317673414</v>
      </c>
      <c r="AS6" s="18">
        <f t="shared" ca="1" si="34"/>
        <v>24080.703609615619</v>
      </c>
      <c r="AT6" s="18">
        <f t="shared" ca="1" si="35"/>
        <v>24565.809397833709</v>
      </c>
      <c r="AU6" s="18">
        <f t="shared" ca="1" si="36"/>
        <v>23895.215877322375</v>
      </c>
      <c r="AV6" s="18">
        <f t="shared" ca="1" si="37"/>
        <v>23895.739247853679</v>
      </c>
      <c r="AW6" s="18">
        <f t="shared" ca="1" si="38"/>
        <v>24092.467870788376</v>
      </c>
      <c r="AX6" s="18">
        <f t="shared" ca="1" si="39"/>
        <v>24492.918467390868</v>
      </c>
      <c r="AY6" s="18">
        <f t="shared" ca="1" si="40"/>
        <v>23988.789163819558</v>
      </c>
      <c r="AZ6" s="18">
        <f t="shared" ca="1" si="41"/>
        <v>24503.793513556178</v>
      </c>
      <c r="BA6" s="18">
        <f t="shared" ca="1" si="42"/>
        <v>24478.362479926494</v>
      </c>
      <c r="BB6" s="18">
        <f t="shared" ca="1" si="43"/>
        <v>24954.774714351734</v>
      </c>
      <c r="BC6" s="18">
        <f t="shared" ca="1" si="44"/>
        <v>24043.656395225673</v>
      </c>
      <c r="BD6" s="18">
        <f t="shared" ca="1" si="45"/>
        <v>24189.85347929546</v>
      </c>
      <c r="BE6" s="18">
        <f t="shared" ca="1" si="46"/>
        <v>24861.131617062711</v>
      </c>
      <c r="BF6" s="18">
        <f t="shared" ca="1" si="47"/>
        <v>24555.601092537283</v>
      </c>
      <c r="BG6" s="18">
        <f t="shared" ca="1" si="48"/>
        <v>24180.817090178221</v>
      </c>
      <c r="BH6" s="18">
        <f t="shared" ca="1" si="49"/>
        <v>23769.260094762838</v>
      </c>
      <c r="BI6" s="18">
        <f t="shared" ca="1" si="50"/>
        <v>24283.356184354609</v>
      </c>
      <c r="BJ6" s="18">
        <f t="shared" ca="1" si="51"/>
        <v>23904.710393891812</v>
      </c>
      <c r="BK6" s="18">
        <f t="shared" ca="1" si="52"/>
        <v>24382.457259644041</v>
      </c>
      <c r="BL6" s="18">
        <f t="shared" ca="1" si="53"/>
        <v>23831.893571172346</v>
      </c>
      <c r="BM6" s="18">
        <f t="shared" ca="1" si="54"/>
        <v>23210.361566648746</v>
      </c>
      <c r="BN6" s="18">
        <f t="shared" ca="1" si="55"/>
        <v>23631.355630749174</v>
      </c>
      <c r="BO6" s="18">
        <f t="shared" ca="1" si="56"/>
        <v>24126.559183031288</v>
      </c>
      <c r="BP6" s="18">
        <f t="shared" ca="1" si="57"/>
        <v>23501.192879849616</v>
      </c>
      <c r="BQ6" s="18">
        <f t="shared" ca="1" si="58"/>
        <v>24722.771387013399</v>
      </c>
      <c r="BR6" s="18">
        <f t="shared" ca="1" si="59"/>
        <v>24403.255559757097</v>
      </c>
      <c r="BS6" s="18">
        <f t="shared" ca="1" si="60"/>
        <v>23412.127405010218</v>
      </c>
      <c r="BT6" s="18">
        <f t="shared" ca="1" si="61"/>
        <v>24115.641950203018</v>
      </c>
      <c r="BU6" s="18">
        <f t="shared" ca="1" si="62"/>
        <v>25554.120643171838</v>
      </c>
      <c r="BV6" s="18">
        <f t="shared" ca="1" si="63"/>
        <v>23712.569091115758</v>
      </c>
      <c r="BW6" s="18">
        <f t="shared" ca="1" si="64"/>
        <v>24645.381562445655</v>
      </c>
      <c r="BX6" s="18">
        <f t="shared" ca="1" si="65"/>
        <v>23923.738460202465</v>
      </c>
      <c r="BY6" s="18">
        <f t="shared" ca="1" si="66"/>
        <v>24399.933992483249</v>
      </c>
      <c r="BZ6" s="18">
        <f t="shared" ca="1" si="67"/>
        <v>23787.204217909464</v>
      </c>
      <c r="CA6" s="18">
        <f t="shared" ca="1" si="68"/>
        <v>23790.356165185127</v>
      </c>
      <c r="CB6" s="18">
        <f t="shared" ca="1" si="69"/>
        <v>24334.276977116737</v>
      </c>
      <c r="CC6" s="18">
        <f t="shared" ca="1" si="70"/>
        <v>24076.628025350277</v>
      </c>
      <c r="CD6" s="18">
        <f t="shared" ca="1" si="71"/>
        <v>24372.53985048848</v>
      </c>
      <c r="CE6" s="18">
        <f t="shared" ca="1" si="72"/>
        <v>24354.298957440056</v>
      </c>
      <c r="CF6" s="18">
        <f t="shared" ca="1" si="73"/>
        <v>24065.818061491816</v>
      </c>
      <c r="CG6" s="18">
        <f t="shared" ca="1" si="74"/>
        <v>24278.853164040309</v>
      </c>
      <c r="CH6" s="18">
        <f t="shared" ca="1" si="75"/>
        <v>23762.494371187862</v>
      </c>
      <c r="CI6" s="18">
        <f t="shared" ca="1" si="76"/>
        <v>24131.983514805575</v>
      </c>
      <c r="CJ6" s="18">
        <f t="shared" ca="1" si="77"/>
        <v>24246.38305402574</v>
      </c>
      <c r="CK6" s="18">
        <f t="shared" ca="1" si="78"/>
        <v>23978.401950696454</v>
      </c>
      <c r="CL6" s="18">
        <f t="shared" ca="1" si="79"/>
        <v>23717.733699694065</v>
      </c>
      <c r="CM6" s="18">
        <f t="shared" ca="1" si="80"/>
        <v>24207.548589053233</v>
      </c>
      <c r="CN6" s="18">
        <f t="shared" ca="1" si="81"/>
        <v>24215.455492113248</v>
      </c>
      <c r="CO6" s="18">
        <f t="shared" ca="1" si="82"/>
        <v>24471.90508605415</v>
      </c>
      <c r="CP6" s="18">
        <f t="shared" ca="1" si="83"/>
        <v>24032.135350940251</v>
      </c>
      <c r="CQ6" s="18">
        <f t="shared" ca="1" si="84"/>
        <v>24039.607201047274</v>
      </c>
      <c r="CR6" s="18">
        <f t="shared" ca="1" si="85"/>
        <v>23739.659066493517</v>
      </c>
      <c r="CS6" s="18">
        <f t="shared" ca="1" si="86"/>
        <v>23366.246482942701</v>
      </c>
      <c r="CT6" s="18">
        <f t="shared" ca="1" si="87"/>
        <v>24496.668765586019</v>
      </c>
      <c r="CU6" s="18">
        <f t="shared" ca="1" si="88"/>
        <v>24522.416778077168</v>
      </c>
      <c r="CV6" s="18">
        <f t="shared" ca="1" si="89"/>
        <v>23946.612646436541</v>
      </c>
      <c r="CW6" s="18">
        <f t="shared" ca="1" si="90"/>
        <v>24150.255516734753</v>
      </c>
      <c r="CX6" s="18">
        <f t="shared" ca="1" si="91"/>
        <v>24481.893286418075</v>
      </c>
      <c r="CY6" s="18">
        <f t="shared" ca="1" si="92"/>
        <v>24827.472904471786</v>
      </c>
      <c r="CZ6" s="18">
        <f t="shared" ca="1" si="93"/>
        <v>23766.405453450501</v>
      </c>
      <c r="DA6" s="18">
        <f t="shared" ca="1" si="94"/>
        <v>24248.898631025553</v>
      </c>
      <c r="DB6" s="18">
        <f t="shared" ca="1" si="95"/>
        <v>24359.515017158072</v>
      </c>
      <c r="DC6" s="18">
        <f t="shared" ca="1" si="96"/>
        <v>24585.830516026304</v>
      </c>
      <c r="DD6" s="18">
        <f t="shared" ca="1" si="97"/>
        <v>24447.030811044435</v>
      </c>
      <c r="DE6" s="18">
        <f t="shared" ca="1" si="98"/>
        <v>25501.497391679914</v>
      </c>
      <c r="DG6" s="12" t="s">
        <v>141</v>
      </c>
      <c r="DH6" s="21">
        <f>G4</f>
        <v>0.139384162288611</v>
      </c>
      <c r="DI6" s="21">
        <f>DH6</f>
        <v>0.139384162288611</v>
      </c>
    </row>
    <row r="7" spans="1:117" x14ac:dyDescent="0.35">
      <c r="A7" s="16">
        <v>44435</v>
      </c>
      <c r="B7" s="17">
        <v>16705.2</v>
      </c>
      <c r="C7" s="10"/>
      <c r="D7" s="19">
        <f t="shared" si="0"/>
        <v>4.0969282398875722E-3</v>
      </c>
      <c r="E7" s="34"/>
      <c r="F7" s="34"/>
      <c r="G7" s="34"/>
      <c r="H7" s="34"/>
      <c r="I7" s="13" t="s">
        <v>10</v>
      </c>
      <c r="J7" s="18">
        <f t="shared" ca="1" si="99"/>
        <v>24858.347775618182</v>
      </c>
      <c r="K7" s="18">
        <f t="shared" ca="1" si="1"/>
        <v>24713.9872425539</v>
      </c>
      <c r="L7" s="18">
        <f t="shared" ca="1" si="1"/>
        <v>23424.707816132501</v>
      </c>
      <c r="M7" s="18">
        <f t="shared" ca="1" si="2"/>
        <v>25283.744660297543</v>
      </c>
      <c r="N7" s="18">
        <f t="shared" ca="1" si="3"/>
        <v>24689.702361050589</v>
      </c>
      <c r="O7" s="18">
        <f t="shared" ca="1" si="4"/>
        <v>24684.693024085132</v>
      </c>
      <c r="P7" s="18">
        <f t="shared" ca="1" si="5"/>
        <v>24117.322644320138</v>
      </c>
      <c r="Q7" s="18">
        <f t="shared" ca="1" si="6"/>
        <v>24446.201150611734</v>
      </c>
      <c r="R7" s="18">
        <f t="shared" ca="1" si="7"/>
        <v>24144.633655463698</v>
      </c>
      <c r="S7" s="18">
        <f t="shared" ca="1" si="8"/>
        <v>24538.971514849942</v>
      </c>
      <c r="T7" s="18">
        <f t="shared" ca="1" si="9"/>
        <v>23908.003748665516</v>
      </c>
      <c r="U7" s="18">
        <f t="shared" ca="1" si="10"/>
        <v>24556.903625766859</v>
      </c>
      <c r="V7" s="18">
        <f t="shared" ca="1" si="11"/>
        <v>23503.709547214796</v>
      </c>
      <c r="W7" s="18">
        <f t="shared" ca="1" si="12"/>
        <v>23137.753358503116</v>
      </c>
      <c r="X7" s="18">
        <f t="shared" ca="1" si="13"/>
        <v>24865.212283559533</v>
      </c>
      <c r="Y7" s="18">
        <f t="shared" ca="1" si="14"/>
        <v>23647.04108788244</v>
      </c>
      <c r="Z7" s="18">
        <f t="shared" ca="1" si="15"/>
        <v>23585.309729025976</v>
      </c>
      <c r="AA7" s="18">
        <f t="shared" ca="1" si="16"/>
        <v>23841.675202203081</v>
      </c>
      <c r="AB7" s="18">
        <f t="shared" ca="1" si="17"/>
        <v>25060.464055776854</v>
      </c>
      <c r="AC7" s="18">
        <f t="shared" ca="1" si="18"/>
        <v>23485.464634470423</v>
      </c>
      <c r="AD7" s="18">
        <f t="shared" ca="1" si="19"/>
        <v>23882.529975737416</v>
      </c>
      <c r="AE7" s="18">
        <f t="shared" ca="1" si="20"/>
        <v>24242.151451648984</v>
      </c>
      <c r="AF7" s="18">
        <f t="shared" ca="1" si="21"/>
        <v>24367.88706953701</v>
      </c>
      <c r="AG7" s="18">
        <f t="shared" ca="1" si="22"/>
        <v>23503.479464599219</v>
      </c>
      <c r="AH7" s="18">
        <f t="shared" ca="1" si="23"/>
        <v>24483.076262887716</v>
      </c>
      <c r="AI7" s="18">
        <f t="shared" ca="1" si="24"/>
        <v>24371.758867269004</v>
      </c>
      <c r="AJ7" s="18">
        <f t="shared" ca="1" si="25"/>
        <v>23744.357206655499</v>
      </c>
      <c r="AK7" s="18">
        <f t="shared" ca="1" si="26"/>
        <v>24388.419236806982</v>
      </c>
      <c r="AL7" s="18">
        <f t="shared" ca="1" si="27"/>
        <v>24133.875852037672</v>
      </c>
      <c r="AM7" s="18">
        <f t="shared" ca="1" si="28"/>
        <v>24299.036137999836</v>
      </c>
      <c r="AN7" s="18">
        <f t="shared" ca="1" si="29"/>
        <v>24006.167722004942</v>
      </c>
      <c r="AO7" s="18">
        <f t="shared" ca="1" si="30"/>
        <v>24714.960077785519</v>
      </c>
      <c r="AP7" s="18">
        <f t="shared" ca="1" si="31"/>
        <v>23640.795281066283</v>
      </c>
      <c r="AQ7" s="18">
        <f t="shared" ca="1" si="32"/>
        <v>24087.123908721984</v>
      </c>
      <c r="AR7" s="18">
        <f t="shared" ca="1" si="33"/>
        <v>23971.598645756185</v>
      </c>
      <c r="AS7" s="18">
        <f t="shared" ca="1" si="34"/>
        <v>24370.177644981446</v>
      </c>
      <c r="AT7" s="18">
        <f t="shared" ca="1" si="35"/>
        <v>24709.504135486546</v>
      </c>
      <c r="AU7" s="18">
        <f t="shared" ca="1" si="36"/>
        <v>23499.943831300923</v>
      </c>
      <c r="AV7" s="18">
        <f t="shared" ca="1" si="37"/>
        <v>24080.463259639659</v>
      </c>
      <c r="AW7" s="18">
        <f t="shared" ca="1" si="38"/>
        <v>24041.59761758861</v>
      </c>
      <c r="AX7" s="18">
        <f t="shared" ca="1" si="39"/>
        <v>24533.450908334071</v>
      </c>
      <c r="AY7" s="18">
        <f t="shared" ca="1" si="40"/>
        <v>23953.698271546516</v>
      </c>
      <c r="AZ7" s="18">
        <f t="shared" ca="1" si="41"/>
        <v>24217.06998870297</v>
      </c>
      <c r="BA7" s="18">
        <f t="shared" ca="1" si="42"/>
        <v>24640.636648127773</v>
      </c>
      <c r="BB7" s="18">
        <f t="shared" ca="1" si="43"/>
        <v>24781.548526802893</v>
      </c>
      <c r="BC7" s="18">
        <f t="shared" ca="1" si="44"/>
        <v>24222.256785796784</v>
      </c>
      <c r="BD7" s="18">
        <f t="shared" ca="1" si="45"/>
        <v>24739.770591520555</v>
      </c>
      <c r="BE7" s="18">
        <f t="shared" ca="1" si="46"/>
        <v>25015.989766771498</v>
      </c>
      <c r="BF7" s="18">
        <f t="shared" ca="1" si="47"/>
        <v>24555.761277035926</v>
      </c>
      <c r="BG7" s="18">
        <f t="shared" ca="1" si="48"/>
        <v>24050.754873104182</v>
      </c>
      <c r="BH7" s="18">
        <f t="shared" ca="1" si="49"/>
        <v>23882.601928345863</v>
      </c>
      <c r="BI7" s="18">
        <f t="shared" ca="1" si="50"/>
        <v>24189.286613495769</v>
      </c>
      <c r="BJ7" s="18">
        <f t="shared" ca="1" si="51"/>
        <v>24137.374084410181</v>
      </c>
      <c r="BK7" s="18">
        <f t="shared" ca="1" si="52"/>
        <v>24463.570588792143</v>
      </c>
      <c r="BL7" s="18">
        <f t="shared" ca="1" si="53"/>
        <v>24164.447509024852</v>
      </c>
      <c r="BM7" s="18">
        <f t="shared" ca="1" si="54"/>
        <v>23262.175519702865</v>
      </c>
      <c r="BN7" s="18">
        <f t="shared" ca="1" si="55"/>
        <v>23411.021965297761</v>
      </c>
      <c r="BO7" s="18">
        <f t="shared" ca="1" si="56"/>
        <v>24579.294473363407</v>
      </c>
      <c r="BP7" s="18">
        <f t="shared" ca="1" si="57"/>
        <v>23397.850631507637</v>
      </c>
      <c r="BQ7" s="18">
        <f t="shared" ca="1" si="58"/>
        <v>24512.243338291202</v>
      </c>
      <c r="BR7" s="18">
        <f t="shared" ca="1" si="59"/>
        <v>24600.519888077044</v>
      </c>
      <c r="BS7" s="18">
        <f t="shared" ca="1" si="60"/>
        <v>23501.407963741225</v>
      </c>
      <c r="BT7" s="18">
        <f t="shared" ca="1" si="61"/>
        <v>23755.351352089634</v>
      </c>
      <c r="BU7" s="18">
        <f t="shared" ca="1" si="62"/>
        <v>25613.815007969599</v>
      </c>
      <c r="BV7" s="18">
        <f t="shared" ca="1" si="63"/>
        <v>24016.784950231297</v>
      </c>
      <c r="BW7" s="18">
        <f t="shared" ca="1" si="64"/>
        <v>24446.307511618823</v>
      </c>
      <c r="BX7" s="18">
        <f t="shared" ca="1" si="65"/>
        <v>23842.632059827447</v>
      </c>
      <c r="BY7" s="18">
        <f t="shared" ca="1" si="66"/>
        <v>24455.574984968418</v>
      </c>
      <c r="BZ7" s="18">
        <f t="shared" ca="1" si="67"/>
        <v>23439.216674363772</v>
      </c>
      <c r="CA7" s="18">
        <f t="shared" ca="1" si="68"/>
        <v>23798.543668514405</v>
      </c>
      <c r="CB7" s="18">
        <f t="shared" ca="1" si="69"/>
        <v>24435.378604877547</v>
      </c>
      <c r="CC7" s="18">
        <f t="shared" ca="1" si="70"/>
        <v>23751.015567893177</v>
      </c>
      <c r="CD7" s="18">
        <f t="shared" ca="1" si="71"/>
        <v>24647.582244141129</v>
      </c>
      <c r="CE7" s="18">
        <f t="shared" ca="1" si="72"/>
        <v>24031.261691399304</v>
      </c>
      <c r="CF7" s="18">
        <f t="shared" ca="1" si="73"/>
        <v>23861.333535096892</v>
      </c>
      <c r="CG7" s="18">
        <f t="shared" ca="1" si="74"/>
        <v>24149.439898322344</v>
      </c>
      <c r="CH7" s="18">
        <f t="shared" ca="1" si="75"/>
        <v>23710.64529573403</v>
      </c>
      <c r="CI7" s="18">
        <f t="shared" ca="1" si="76"/>
        <v>24389.499286235339</v>
      </c>
      <c r="CJ7" s="18">
        <f t="shared" ca="1" si="77"/>
        <v>24316.826692494447</v>
      </c>
      <c r="CK7" s="18">
        <f t="shared" ca="1" si="78"/>
        <v>23966.991297676163</v>
      </c>
      <c r="CL7" s="18">
        <f t="shared" ca="1" si="79"/>
        <v>23730.210473950468</v>
      </c>
      <c r="CM7" s="18">
        <f t="shared" ca="1" si="80"/>
        <v>23953.61293280208</v>
      </c>
      <c r="CN7" s="18">
        <f t="shared" ca="1" si="81"/>
        <v>24396.764866649282</v>
      </c>
      <c r="CO7" s="18">
        <f t="shared" ca="1" si="82"/>
        <v>24235.514337216522</v>
      </c>
      <c r="CP7" s="18">
        <f t="shared" ca="1" si="83"/>
        <v>23695.421339287033</v>
      </c>
      <c r="CQ7" s="18">
        <f t="shared" ca="1" si="84"/>
        <v>23804.391530787932</v>
      </c>
      <c r="CR7" s="18">
        <f t="shared" ca="1" si="85"/>
        <v>23988.208300201459</v>
      </c>
      <c r="CS7" s="18">
        <f t="shared" ca="1" si="86"/>
        <v>23534.88586873715</v>
      </c>
      <c r="CT7" s="18">
        <f t="shared" ca="1" si="87"/>
        <v>24312.140776375985</v>
      </c>
      <c r="CU7" s="18">
        <f t="shared" ca="1" si="88"/>
        <v>24531.186378720566</v>
      </c>
      <c r="CV7" s="18">
        <f t="shared" ca="1" si="89"/>
        <v>23694.566377894731</v>
      </c>
      <c r="CW7" s="18">
        <f t="shared" ca="1" si="90"/>
        <v>23816.72432830562</v>
      </c>
      <c r="CX7" s="18">
        <f t="shared" ca="1" si="91"/>
        <v>24365.572084925545</v>
      </c>
      <c r="CY7" s="18">
        <f t="shared" ca="1" si="92"/>
        <v>24730.959457292141</v>
      </c>
      <c r="CZ7" s="18">
        <f t="shared" ca="1" si="93"/>
        <v>24143.690412013431</v>
      </c>
      <c r="DA7" s="18">
        <f t="shared" ca="1" si="94"/>
        <v>24282.357998162828</v>
      </c>
      <c r="DB7" s="18">
        <f t="shared" ca="1" si="95"/>
        <v>24086.417020745826</v>
      </c>
      <c r="DC7" s="18">
        <f t="shared" ca="1" si="96"/>
        <v>24725.922516654453</v>
      </c>
      <c r="DD7" s="18">
        <f t="shared" ca="1" si="97"/>
        <v>24134.017876289254</v>
      </c>
      <c r="DE7" s="18">
        <f t="shared" ca="1" si="98"/>
        <v>25512.677539277167</v>
      </c>
      <c r="DG7" s="12" t="s">
        <v>142</v>
      </c>
      <c r="DH7" s="12">
        <f>22/255</f>
        <v>8.6274509803921567E-2</v>
      </c>
      <c r="DI7" s="12">
        <f>DH7</f>
        <v>8.6274509803921567E-2</v>
      </c>
    </row>
    <row r="8" spans="1:117" x14ac:dyDescent="0.35">
      <c r="A8" s="16">
        <v>44438</v>
      </c>
      <c r="B8" s="17">
        <v>16931.05</v>
      </c>
      <c r="C8" s="10"/>
      <c r="D8" s="19">
        <f t="shared" si="0"/>
        <v>1.3429166104186735E-2</v>
      </c>
      <c r="E8" s="34"/>
      <c r="F8" s="34"/>
      <c r="G8" s="34"/>
      <c r="H8" s="34"/>
      <c r="I8" s="13" t="s">
        <v>11</v>
      </c>
      <c r="J8" s="18">
        <f t="shared" ca="1" si="99"/>
        <v>24775.577273044339</v>
      </c>
      <c r="K8" s="18">
        <f t="shared" ca="1" si="1"/>
        <v>24671.782450991828</v>
      </c>
      <c r="L8" s="18">
        <f t="shared" ca="1" si="1"/>
        <v>23217.77967005334</v>
      </c>
      <c r="M8" s="18">
        <f t="shared" ca="1" si="2"/>
        <v>25161.703290785048</v>
      </c>
      <c r="N8" s="18">
        <f t="shared" ca="1" si="3"/>
        <v>24949.605708582596</v>
      </c>
      <c r="O8" s="18">
        <f t="shared" ca="1" si="4"/>
        <v>24894.112280184025</v>
      </c>
      <c r="P8" s="18">
        <f t="shared" ca="1" si="5"/>
        <v>24039.898163860413</v>
      </c>
      <c r="Q8" s="18">
        <f t="shared" ca="1" si="6"/>
        <v>24510.49712428818</v>
      </c>
      <c r="R8" s="18">
        <f t="shared" ca="1" si="7"/>
        <v>24623.683287472377</v>
      </c>
      <c r="S8" s="18">
        <f t="shared" ca="1" si="8"/>
        <v>24748.253843951788</v>
      </c>
      <c r="T8" s="18">
        <f t="shared" ca="1" si="9"/>
        <v>24156.61800333441</v>
      </c>
      <c r="U8" s="18">
        <f t="shared" ca="1" si="10"/>
        <v>24399.344408174697</v>
      </c>
      <c r="V8" s="18">
        <f t="shared" ca="1" si="11"/>
        <v>23782.564181363789</v>
      </c>
      <c r="W8" s="18">
        <f t="shared" ca="1" si="12"/>
        <v>23366.45763285986</v>
      </c>
      <c r="X8" s="18">
        <f t="shared" ca="1" si="13"/>
        <v>24836.63558187713</v>
      </c>
      <c r="Y8" s="18">
        <f t="shared" ca="1" si="14"/>
        <v>23474.581293662734</v>
      </c>
      <c r="Z8" s="18">
        <f t="shared" ca="1" si="15"/>
        <v>23393.961043017836</v>
      </c>
      <c r="AA8" s="18">
        <f t="shared" ca="1" si="16"/>
        <v>24004.669082737455</v>
      </c>
      <c r="AB8" s="18">
        <f t="shared" ca="1" si="17"/>
        <v>25260.392777438421</v>
      </c>
      <c r="AC8" s="18">
        <f t="shared" ca="1" si="18"/>
        <v>23578.695003858254</v>
      </c>
      <c r="AD8" s="18">
        <f t="shared" ca="1" si="19"/>
        <v>24097.245830555436</v>
      </c>
      <c r="AE8" s="18">
        <f t="shared" ca="1" si="20"/>
        <v>24162.509660019572</v>
      </c>
      <c r="AF8" s="18">
        <f t="shared" ca="1" si="21"/>
        <v>24379.274578598721</v>
      </c>
      <c r="AG8" s="18">
        <f t="shared" ca="1" si="22"/>
        <v>23570.917613208971</v>
      </c>
      <c r="AH8" s="18">
        <f t="shared" ca="1" si="23"/>
        <v>24857.306880216303</v>
      </c>
      <c r="AI8" s="18">
        <f t="shared" ca="1" si="24"/>
        <v>24367.931028735104</v>
      </c>
      <c r="AJ8" s="18">
        <f t="shared" ca="1" si="25"/>
        <v>23409.808470102991</v>
      </c>
      <c r="AK8" s="18">
        <f t="shared" ca="1" si="26"/>
        <v>24332.481043996631</v>
      </c>
      <c r="AL8" s="18">
        <f t="shared" ca="1" si="27"/>
        <v>24600.90518596983</v>
      </c>
      <c r="AM8" s="18">
        <f t="shared" ca="1" si="28"/>
        <v>24474.443586000063</v>
      </c>
      <c r="AN8" s="18">
        <f t="shared" ca="1" si="29"/>
        <v>24272.758293568972</v>
      </c>
      <c r="AO8" s="18">
        <f t="shared" ca="1" si="30"/>
        <v>24552.857042938467</v>
      </c>
      <c r="AP8" s="18">
        <f t="shared" ca="1" si="31"/>
        <v>23718.914124466126</v>
      </c>
      <c r="AQ8" s="18">
        <f t="shared" ca="1" si="32"/>
        <v>24309.176988856623</v>
      </c>
      <c r="AR8" s="18">
        <f t="shared" ca="1" si="33"/>
        <v>24142.153474762079</v>
      </c>
      <c r="AS8" s="18">
        <f t="shared" ca="1" si="34"/>
        <v>24370.903003589134</v>
      </c>
      <c r="AT8" s="18">
        <f t="shared" ca="1" si="35"/>
        <v>24852.067908641351</v>
      </c>
      <c r="AU8" s="18">
        <f t="shared" ca="1" si="36"/>
        <v>23117.592708096232</v>
      </c>
      <c r="AV8" s="18">
        <f t="shared" ca="1" si="37"/>
        <v>23875.334559485025</v>
      </c>
      <c r="AW8" s="18">
        <f t="shared" ca="1" si="38"/>
        <v>23854.927089748584</v>
      </c>
      <c r="AX8" s="18">
        <f t="shared" ca="1" si="39"/>
        <v>24429.209834318273</v>
      </c>
      <c r="AY8" s="18">
        <f t="shared" ca="1" si="40"/>
        <v>23888.052767092282</v>
      </c>
      <c r="AZ8" s="18">
        <f t="shared" ca="1" si="41"/>
        <v>24076.664449635253</v>
      </c>
      <c r="BA8" s="18">
        <f t="shared" ca="1" si="42"/>
        <v>24934.953743797574</v>
      </c>
      <c r="BB8" s="18">
        <f t="shared" ca="1" si="43"/>
        <v>24433.9307132473</v>
      </c>
      <c r="BC8" s="18">
        <f t="shared" ca="1" si="44"/>
        <v>24248.621690550921</v>
      </c>
      <c r="BD8" s="18">
        <f t="shared" ca="1" si="45"/>
        <v>24757.254843171122</v>
      </c>
      <c r="BE8" s="18">
        <f t="shared" ca="1" si="46"/>
        <v>25075.82592874621</v>
      </c>
      <c r="BF8" s="18">
        <f t="shared" ca="1" si="47"/>
        <v>24234.035867187871</v>
      </c>
      <c r="BG8" s="18">
        <f t="shared" ca="1" si="48"/>
        <v>24027.743485901636</v>
      </c>
      <c r="BH8" s="18">
        <f t="shared" ca="1" si="49"/>
        <v>24109.580270835653</v>
      </c>
      <c r="BI8" s="18">
        <f t="shared" ca="1" si="50"/>
        <v>24560.147186438822</v>
      </c>
      <c r="BJ8" s="18">
        <f t="shared" ca="1" si="51"/>
        <v>23889.814982609187</v>
      </c>
      <c r="BK8" s="18">
        <f t="shared" ca="1" si="52"/>
        <v>24438.728536531722</v>
      </c>
      <c r="BL8" s="18">
        <f t="shared" ca="1" si="53"/>
        <v>24121.031935031086</v>
      </c>
      <c r="BM8" s="18">
        <f t="shared" ca="1" si="54"/>
        <v>22908.632954482611</v>
      </c>
      <c r="BN8" s="18">
        <f t="shared" ca="1" si="55"/>
        <v>23578.128490263443</v>
      </c>
      <c r="BO8" s="18">
        <f t="shared" ca="1" si="56"/>
        <v>24519.662464622455</v>
      </c>
      <c r="BP8" s="18">
        <f t="shared" ca="1" si="57"/>
        <v>23078.697799041511</v>
      </c>
      <c r="BQ8" s="18">
        <f t="shared" ca="1" si="58"/>
        <v>24608.120655458533</v>
      </c>
      <c r="BR8" s="18">
        <f t="shared" ca="1" si="59"/>
        <v>24725.633546602301</v>
      </c>
      <c r="BS8" s="18">
        <f t="shared" ca="1" si="60"/>
        <v>23511.395562877766</v>
      </c>
      <c r="BT8" s="18">
        <f t="shared" ca="1" si="61"/>
        <v>23930.829801529395</v>
      </c>
      <c r="BU8" s="18">
        <f t="shared" ca="1" si="62"/>
        <v>25378.735162086152</v>
      </c>
      <c r="BV8" s="18">
        <f t="shared" ca="1" si="63"/>
        <v>24329.682178963005</v>
      </c>
      <c r="BW8" s="18">
        <f t="shared" ca="1" si="64"/>
        <v>24428.115566800945</v>
      </c>
      <c r="BX8" s="18">
        <f t="shared" ca="1" si="65"/>
        <v>24070.346301833608</v>
      </c>
      <c r="BY8" s="18">
        <f t="shared" ca="1" si="66"/>
        <v>24085.691258622057</v>
      </c>
      <c r="BZ8" s="18">
        <f t="shared" ca="1" si="67"/>
        <v>22995.571206450732</v>
      </c>
      <c r="CA8" s="18">
        <f t="shared" ca="1" si="68"/>
        <v>23691.065476186068</v>
      </c>
      <c r="CB8" s="18">
        <f t="shared" ca="1" si="69"/>
        <v>24697.630289623437</v>
      </c>
      <c r="CC8" s="18">
        <f t="shared" ca="1" si="70"/>
        <v>23766.176431741045</v>
      </c>
      <c r="CD8" s="18">
        <f t="shared" ca="1" si="71"/>
        <v>24673.181944903914</v>
      </c>
      <c r="CE8" s="18">
        <f t="shared" ca="1" si="72"/>
        <v>23773.287688164852</v>
      </c>
      <c r="CF8" s="18">
        <f t="shared" ca="1" si="73"/>
        <v>23731.410345272703</v>
      </c>
      <c r="CG8" s="18">
        <f t="shared" ca="1" si="74"/>
        <v>23744.843474129138</v>
      </c>
      <c r="CH8" s="18">
        <f t="shared" ca="1" si="75"/>
        <v>23462.843974465188</v>
      </c>
      <c r="CI8" s="18">
        <f t="shared" ca="1" si="76"/>
        <v>23928.185748598007</v>
      </c>
      <c r="CJ8" s="18">
        <f t="shared" ca="1" si="77"/>
        <v>24259.68776934635</v>
      </c>
      <c r="CK8" s="18">
        <f t="shared" ca="1" si="78"/>
        <v>23843.47986844604</v>
      </c>
      <c r="CL8" s="18">
        <f t="shared" ca="1" si="79"/>
        <v>23944.138601663959</v>
      </c>
      <c r="CM8" s="18">
        <f t="shared" ca="1" si="80"/>
        <v>23714.975373440968</v>
      </c>
      <c r="CN8" s="18">
        <f t="shared" ca="1" si="81"/>
        <v>24473.404687417984</v>
      </c>
      <c r="CO8" s="18">
        <f t="shared" ca="1" si="82"/>
        <v>24370.358677802</v>
      </c>
      <c r="CP8" s="18">
        <f t="shared" ca="1" si="83"/>
        <v>23676.716315986305</v>
      </c>
      <c r="CQ8" s="18">
        <f t="shared" ca="1" si="84"/>
        <v>24012.766414409645</v>
      </c>
      <c r="CR8" s="18">
        <f t="shared" ca="1" si="85"/>
        <v>23914.976092131925</v>
      </c>
      <c r="CS8" s="18">
        <f t="shared" ca="1" si="86"/>
        <v>23440.826660592797</v>
      </c>
      <c r="CT8" s="18">
        <f t="shared" ca="1" si="87"/>
        <v>24314.987306236944</v>
      </c>
      <c r="CU8" s="18">
        <f t="shared" ca="1" si="88"/>
        <v>24549.568284679492</v>
      </c>
      <c r="CV8" s="18">
        <f t="shared" ca="1" si="89"/>
        <v>23656.837953437444</v>
      </c>
      <c r="CW8" s="18">
        <f t="shared" ca="1" si="90"/>
        <v>23765.288911083997</v>
      </c>
      <c r="CX8" s="18">
        <f t="shared" ca="1" si="91"/>
        <v>24499.683175170903</v>
      </c>
      <c r="CY8" s="18">
        <f t="shared" ca="1" si="92"/>
        <v>24583.007752888232</v>
      </c>
      <c r="CZ8" s="18">
        <f t="shared" ca="1" si="93"/>
        <v>24161.549512469257</v>
      </c>
      <c r="DA8" s="18">
        <f t="shared" ca="1" si="94"/>
        <v>24079.339616018897</v>
      </c>
      <c r="DB8" s="18">
        <f t="shared" ca="1" si="95"/>
        <v>23340.58155088107</v>
      </c>
      <c r="DC8" s="18">
        <f t="shared" ca="1" si="96"/>
        <v>24729.939008717534</v>
      </c>
      <c r="DD8" s="18">
        <f t="shared" ca="1" si="97"/>
        <v>24291.528747337226</v>
      </c>
      <c r="DE8" s="18">
        <f t="shared" ca="1" si="98"/>
        <v>25583.996881394185</v>
      </c>
    </row>
    <row r="9" spans="1:117" x14ac:dyDescent="0.35">
      <c r="A9" s="16">
        <v>44439</v>
      </c>
      <c r="B9" s="17">
        <v>17132.2</v>
      </c>
      <c r="C9" s="10"/>
      <c r="D9" s="19">
        <f t="shared" si="0"/>
        <v>1.1810519440649946E-2</v>
      </c>
      <c r="E9" s="34"/>
      <c r="F9" s="34"/>
      <c r="G9" s="34"/>
      <c r="H9" s="34"/>
      <c r="I9" s="13" t="s">
        <v>12</v>
      </c>
      <c r="J9" s="18">
        <f t="shared" ref="J9:L24" ca="1" si="100">J8+(J8*$G$3*$G$5)+(J8*$G$4*SQRT($G$5)*_xlfn.NORM.S.INV(RAND()))</f>
        <v>24316.48501330657</v>
      </c>
      <c r="K9" s="18">
        <f t="shared" ca="1" si="1"/>
        <v>24703.930806544427</v>
      </c>
      <c r="L9" s="18">
        <f t="shared" ca="1" si="1"/>
        <v>22924.710527703439</v>
      </c>
      <c r="M9" s="18">
        <f t="shared" ca="1" si="2"/>
        <v>25131.335959240401</v>
      </c>
      <c r="N9" s="18">
        <f t="shared" ca="1" si="3"/>
        <v>24926.624628005145</v>
      </c>
      <c r="O9" s="18">
        <f t="shared" ca="1" si="4"/>
        <v>24841.761254531903</v>
      </c>
      <c r="P9" s="18">
        <f t="shared" ca="1" si="5"/>
        <v>23909.844177375879</v>
      </c>
      <c r="Q9" s="18">
        <f t="shared" ca="1" si="6"/>
        <v>24148.479543137371</v>
      </c>
      <c r="R9" s="18">
        <f t="shared" ca="1" si="7"/>
        <v>24578.023255347543</v>
      </c>
      <c r="S9" s="18">
        <f t="shared" ca="1" si="8"/>
        <v>24277.330823380609</v>
      </c>
      <c r="T9" s="18">
        <f t="shared" ca="1" si="9"/>
        <v>24088.601540187643</v>
      </c>
      <c r="U9" s="18">
        <f t="shared" ca="1" si="10"/>
        <v>24622.406813307582</v>
      </c>
      <c r="V9" s="18">
        <f t="shared" ca="1" si="11"/>
        <v>23658.172173656872</v>
      </c>
      <c r="W9" s="18">
        <f t="shared" ca="1" si="12"/>
        <v>22927.337056324315</v>
      </c>
      <c r="X9" s="18">
        <f t="shared" ca="1" si="13"/>
        <v>25176.480152356846</v>
      </c>
      <c r="Y9" s="18">
        <f t="shared" ca="1" si="14"/>
        <v>23153.154524495389</v>
      </c>
      <c r="Z9" s="18">
        <f t="shared" ca="1" si="15"/>
        <v>23710.343267552686</v>
      </c>
      <c r="AA9" s="18">
        <f t="shared" ca="1" si="16"/>
        <v>23681.835496517695</v>
      </c>
      <c r="AB9" s="18">
        <f t="shared" ca="1" si="17"/>
        <v>25078.655672517605</v>
      </c>
      <c r="AC9" s="18">
        <f t="shared" ca="1" si="18"/>
        <v>23509.252032279761</v>
      </c>
      <c r="AD9" s="18">
        <f t="shared" ca="1" si="19"/>
        <v>24252.745468069166</v>
      </c>
      <c r="AE9" s="18">
        <f t="shared" ca="1" si="20"/>
        <v>24141.375567802959</v>
      </c>
      <c r="AF9" s="18">
        <f t="shared" ca="1" si="21"/>
        <v>24488.896484486089</v>
      </c>
      <c r="AG9" s="18">
        <f t="shared" ca="1" si="22"/>
        <v>23810.965878379433</v>
      </c>
      <c r="AH9" s="18">
        <f t="shared" ca="1" si="23"/>
        <v>24828.309002671111</v>
      </c>
      <c r="AI9" s="18">
        <f t="shared" ca="1" si="24"/>
        <v>24095.880860918176</v>
      </c>
      <c r="AJ9" s="18">
        <f t="shared" ca="1" si="25"/>
        <v>23054.858647493893</v>
      </c>
      <c r="AK9" s="18">
        <f t="shared" ca="1" si="26"/>
        <v>24190.00516682964</v>
      </c>
      <c r="AL9" s="18">
        <f t="shared" ca="1" si="27"/>
        <v>24464.745636956606</v>
      </c>
      <c r="AM9" s="18">
        <f t="shared" ca="1" si="28"/>
        <v>24264.183462101493</v>
      </c>
      <c r="AN9" s="18">
        <f t="shared" ca="1" si="29"/>
        <v>24594.170864622261</v>
      </c>
      <c r="AO9" s="18">
        <f t="shared" ca="1" si="30"/>
        <v>24128.012494124516</v>
      </c>
      <c r="AP9" s="18">
        <f t="shared" ca="1" si="31"/>
        <v>23609.394677705564</v>
      </c>
      <c r="AQ9" s="18">
        <f t="shared" ca="1" si="32"/>
        <v>24354.102753435483</v>
      </c>
      <c r="AR9" s="18">
        <f t="shared" ca="1" si="33"/>
        <v>24269.429420200893</v>
      </c>
      <c r="AS9" s="18">
        <f t="shared" ca="1" si="34"/>
        <v>24628.624133915338</v>
      </c>
      <c r="AT9" s="18">
        <f t="shared" ca="1" si="35"/>
        <v>25040.073792320647</v>
      </c>
      <c r="AU9" s="18">
        <f t="shared" ca="1" si="36"/>
        <v>23359.225471919417</v>
      </c>
      <c r="AV9" s="18">
        <f t="shared" ca="1" si="37"/>
        <v>23898.179541096713</v>
      </c>
      <c r="AW9" s="18">
        <f t="shared" ca="1" si="38"/>
        <v>23975.10882388155</v>
      </c>
      <c r="AX9" s="18">
        <f t="shared" ca="1" si="39"/>
        <v>24229.989217211787</v>
      </c>
      <c r="AY9" s="18">
        <f t="shared" ca="1" si="40"/>
        <v>23304.410951467227</v>
      </c>
      <c r="AZ9" s="18">
        <f t="shared" ca="1" si="41"/>
        <v>23771.713041979401</v>
      </c>
      <c r="BA9" s="18">
        <f t="shared" ca="1" si="42"/>
        <v>24904.915830719357</v>
      </c>
      <c r="BB9" s="18">
        <f t="shared" ca="1" si="43"/>
        <v>24118.026379033567</v>
      </c>
      <c r="BC9" s="18">
        <f t="shared" ca="1" si="44"/>
        <v>24220.109682355993</v>
      </c>
      <c r="BD9" s="18">
        <f t="shared" ca="1" si="45"/>
        <v>24590.787133019865</v>
      </c>
      <c r="BE9" s="18">
        <f t="shared" ca="1" si="46"/>
        <v>25305.65907981592</v>
      </c>
      <c r="BF9" s="18">
        <f t="shared" ca="1" si="47"/>
        <v>24470.986916586146</v>
      </c>
      <c r="BG9" s="18">
        <f t="shared" ca="1" si="48"/>
        <v>23916.075996605774</v>
      </c>
      <c r="BH9" s="18">
        <f t="shared" ca="1" si="49"/>
        <v>24123.211757997287</v>
      </c>
      <c r="BI9" s="18">
        <f t="shared" ca="1" si="50"/>
        <v>24409.64723194408</v>
      </c>
      <c r="BJ9" s="18">
        <f t="shared" ca="1" si="51"/>
        <v>23946.882694983422</v>
      </c>
      <c r="BK9" s="18">
        <f t="shared" ca="1" si="52"/>
        <v>24335.995885422228</v>
      </c>
      <c r="BL9" s="18">
        <f t="shared" ca="1" si="53"/>
        <v>24306.22510006381</v>
      </c>
      <c r="BM9" s="18">
        <f t="shared" ca="1" si="54"/>
        <v>22448.733207089772</v>
      </c>
      <c r="BN9" s="18">
        <f t="shared" ca="1" si="55"/>
        <v>23614.756776981005</v>
      </c>
      <c r="BO9" s="18">
        <f t="shared" ca="1" si="56"/>
        <v>24464.956808143346</v>
      </c>
      <c r="BP9" s="18">
        <f t="shared" ca="1" si="57"/>
        <v>22878.103633925897</v>
      </c>
      <c r="BQ9" s="18">
        <f t="shared" ca="1" si="58"/>
        <v>24522.364456653235</v>
      </c>
      <c r="BR9" s="18">
        <f t="shared" ca="1" si="59"/>
        <v>24758.689015723587</v>
      </c>
      <c r="BS9" s="18">
        <f t="shared" ca="1" si="60"/>
        <v>23414.626615211509</v>
      </c>
      <c r="BT9" s="18">
        <f t="shared" ca="1" si="61"/>
        <v>24013.257007644297</v>
      </c>
      <c r="BU9" s="18">
        <f t="shared" ca="1" si="62"/>
        <v>25497.920607921013</v>
      </c>
      <c r="BV9" s="18">
        <f t="shared" ca="1" si="63"/>
        <v>24197.084083828424</v>
      </c>
      <c r="BW9" s="18">
        <f t="shared" ca="1" si="64"/>
        <v>24550.879366500805</v>
      </c>
      <c r="BX9" s="18">
        <f t="shared" ca="1" si="65"/>
        <v>23938.408209591187</v>
      </c>
      <c r="BY9" s="18">
        <f t="shared" ca="1" si="66"/>
        <v>24355.662019120682</v>
      </c>
      <c r="BZ9" s="18">
        <f t="shared" ca="1" si="67"/>
        <v>22953.273595324936</v>
      </c>
      <c r="CA9" s="18">
        <f t="shared" ca="1" si="68"/>
        <v>24126.233696395873</v>
      </c>
      <c r="CB9" s="18">
        <f t="shared" ca="1" si="69"/>
        <v>24461.696218415338</v>
      </c>
      <c r="CC9" s="18">
        <f t="shared" ca="1" si="70"/>
        <v>23760.292120050668</v>
      </c>
      <c r="CD9" s="18">
        <f t="shared" ca="1" si="71"/>
        <v>25059.677059809786</v>
      </c>
      <c r="CE9" s="18">
        <f t="shared" ca="1" si="72"/>
        <v>23744.1526569954</v>
      </c>
      <c r="CF9" s="18">
        <f t="shared" ca="1" si="73"/>
        <v>23502.661807574925</v>
      </c>
      <c r="CG9" s="18">
        <f t="shared" ca="1" si="74"/>
        <v>23684.325926884398</v>
      </c>
      <c r="CH9" s="18">
        <f t="shared" ca="1" si="75"/>
        <v>23555.166139580411</v>
      </c>
      <c r="CI9" s="18">
        <f t="shared" ca="1" si="76"/>
        <v>23957.211409304855</v>
      </c>
      <c r="CJ9" s="18">
        <f t="shared" ca="1" si="77"/>
        <v>24060.878974508134</v>
      </c>
      <c r="CK9" s="18">
        <f t="shared" ca="1" si="78"/>
        <v>23711.249302036886</v>
      </c>
      <c r="CL9" s="18">
        <f t="shared" ca="1" si="79"/>
        <v>24062.194539714892</v>
      </c>
      <c r="CM9" s="18">
        <f t="shared" ca="1" si="80"/>
        <v>23811.920984196411</v>
      </c>
      <c r="CN9" s="18">
        <f t="shared" ca="1" si="81"/>
        <v>24706.028144546446</v>
      </c>
      <c r="CO9" s="18">
        <f t="shared" ca="1" si="82"/>
        <v>24277.29534141994</v>
      </c>
      <c r="CP9" s="18">
        <f t="shared" ca="1" si="83"/>
        <v>23726.206254846773</v>
      </c>
      <c r="CQ9" s="18">
        <f t="shared" ca="1" si="84"/>
        <v>24036.556151157754</v>
      </c>
      <c r="CR9" s="18">
        <f t="shared" ca="1" si="85"/>
        <v>24172.077417264107</v>
      </c>
      <c r="CS9" s="18">
        <f t="shared" ca="1" si="86"/>
        <v>23665.962692669746</v>
      </c>
      <c r="CT9" s="18">
        <f t="shared" ca="1" si="87"/>
        <v>24421.620243474008</v>
      </c>
      <c r="CU9" s="18">
        <f t="shared" ca="1" si="88"/>
        <v>24575.358752144868</v>
      </c>
      <c r="CV9" s="18">
        <f t="shared" ca="1" si="89"/>
        <v>23584.11283109316</v>
      </c>
      <c r="CW9" s="18">
        <f t="shared" ca="1" si="90"/>
        <v>23803.662095329903</v>
      </c>
      <c r="CX9" s="18">
        <f t="shared" ca="1" si="91"/>
        <v>24418.425647724409</v>
      </c>
      <c r="CY9" s="18">
        <f t="shared" ca="1" si="92"/>
        <v>24464.017947738819</v>
      </c>
      <c r="CZ9" s="18">
        <f t="shared" ca="1" si="93"/>
        <v>23900.866197022206</v>
      </c>
      <c r="DA9" s="18">
        <f t="shared" ca="1" si="94"/>
        <v>24127.990435664244</v>
      </c>
      <c r="DB9" s="18">
        <f t="shared" ca="1" si="95"/>
        <v>23102.106842058743</v>
      </c>
      <c r="DC9" s="18">
        <f t="shared" ca="1" si="96"/>
        <v>24654.486557749933</v>
      </c>
      <c r="DD9" s="18">
        <f t="shared" ca="1" si="97"/>
        <v>24223.812645889146</v>
      </c>
      <c r="DE9" s="18">
        <f t="shared" ca="1" si="98"/>
        <v>25310.778109462532</v>
      </c>
      <c r="DG9" s="12" t="s">
        <v>145</v>
      </c>
      <c r="DH9" s="25">
        <f>(LN(DH3/DH4)+(DH5+(DH6^2*0.5))*DH7)/(DH6*SQRT(DH7))</f>
        <v>8.027276087092293E-2</v>
      </c>
      <c r="DI9" s="25">
        <f>DH9</f>
        <v>8.027276087092293E-2</v>
      </c>
    </row>
    <row r="10" spans="1:117" ht="14.4" customHeight="1" x14ac:dyDescent="0.35">
      <c r="A10" s="16">
        <v>44440</v>
      </c>
      <c r="B10" s="17">
        <v>17076.25</v>
      </c>
      <c r="C10" s="10"/>
      <c r="D10" s="19">
        <f t="shared" si="0"/>
        <v>-3.2711245256615783E-3</v>
      </c>
      <c r="E10" s="34"/>
      <c r="F10" s="34"/>
      <c r="G10" s="34"/>
      <c r="H10" s="34"/>
      <c r="I10" s="13" t="s">
        <v>13</v>
      </c>
      <c r="J10" s="18">
        <f t="shared" ca="1" si="100"/>
        <v>24810.943649124994</v>
      </c>
      <c r="K10" s="18">
        <f t="shared" ca="1" si="1"/>
        <v>24522.361087318499</v>
      </c>
      <c r="L10" s="18">
        <f t="shared" ca="1" si="1"/>
        <v>23042.310317533349</v>
      </c>
      <c r="M10" s="18">
        <f t="shared" ca="1" si="2"/>
        <v>25271.822027692877</v>
      </c>
      <c r="N10" s="18">
        <f t="shared" ca="1" si="3"/>
        <v>24681.472504915077</v>
      </c>
      <c r="O10" s="18">
        <f t="shared" ca="1" si="4"/>
        <v>24307.295267802241</v>
      </c>
      <c r="P10" s="18">
        <f t="shared" ca="1" si="5"/>
        <v>23970.622946748776</v>
      </c>
      <c r="Q10" s="18">
        <f t="shared" ca="1" si="6"/>
        <v>23833.468266912329</v>
      </c>
      <c r="R10" s="18">
        <f t="shared" ca="1" si="7"/>
        <v>24587.67580306773</v>
      </c>
      <c r="S10" s="18">
        <f t="shared" ca="1" si="8"/>
        <v>24247.994696708327</v>
      </c>
      <c r="T10" s="18">
        <f t="shared" ca="1" si="9"/>
        <v>23884.248180794995</v>
      </c>
      <c r="U10" s="18">
        <f t="shared" ca="1" si="10"/>
        <v>24629.076370324125</v>
      </c>
      <c r="V10" s="18">
        <f t="shared" ca="1" si="11"/>
        <v>23715.527051269204</v>
      </c>
      <c r="W10" s="18">
        <f t="shared" ca="1" si="12"/>
        <v>22974.745522107642</v>
      </c>
      <c r="X10" s="18">
        <f t="shared" ca="1" si="13"/>
        <v>25566.296257841776</v>
      </c>
      <c r="Y10" s="18">
        <f t="shared" ca="1" si="14"/>
        <v>22887.882944790555</v>
      </c>
      <c r="Z10" s="18">
        <f t="shared" ca="1" si="15"/>
        <v>23425.95975579707</v>
      </c>
      <c r="AA10" s="18">
        <f t="shared" ca="1" si="16"/>
        <v>23820.931940740047</v>
      </c>
      <c r="AB10" s="18">
        <f t="shared" ca="1" si="17"/>
        <v>24877.8016914461</v>
      </c>
      <c r="AC10" s="18">
        <f t="shared" ca="1" si="18"/>
        <v>23438.583141873536</v>
      </c>
      <c r="AD10" s="18">
        <f t="shared" ca="1" si="19"/>
        <v>24487.524155799907</v>
      </c>
      <c r="AE10" s="18">
        <f t="shared" ca="1" si="20"/>
        <v>24066.075031624339</v>
      </c>
      <c r="AF10" s="18">
        <f t="shared" ca="1" si="21"/>
        <v>24709.808182218942</v>
      </c>
      <c r="AG10" s="18">
        <f t="shared" ca="1" si="22"/>
        <v>23467.135745568521</v>
      </c>
      <c r="AH10" s="18">
        <f t="shared" ca="1" si="23"/>
        <v>25222.217290763314</v>
      </c>
      <c r="AI10" s="18">
        <f t="shared" ca="1" si="24"/>
        <v>24073.159584537159</v>
      </c>
      <c r="AJ10" s="18">
        <f t="shared" ca="1" si="25"/>
        <v>23169.690304983869</v>
      </c>
      <c r="AK10" s="18">
        <f t="shared" ca="1" si="26"/>
        <v>24145.906687058596</v>
      </c>
      <c r="AL10" s="18">
        <f t="shared" ca="1" si="27"/>
        <v>24176.376797023106</v>
      </c>
      <c r="AM10" s="18">
        <f t="shared" ca="1" si="28"/>
        <v>24395.475522070006</v>
      </c>
      <c r="AN10" s="18">
        <f t="shared" ca="1" si="29"/>
        <v>24676.240180782243</v>
      </c>
      <c r="AO10" s="18">
        <f t="shared" ca="1" si="30"/>
        <v>24100.155150034876</v>
      </c>
      <c r="AP10" s="18">
        <f t="shared" ca="1" si="31"/>
        <v>23623.881745819974</v>
      </c>
      <c r="AQ10" s="18">
        <f t="shared" ca="1" si="32"/>
        <v>24259.802759334048</v>
      </c>
      <c r="AR10" s="18">
        <f t="shared" ca="1" si="33"/>
        <v>24201.860808790996</v>
      </c>
      <c r="AS10" s="18">
        <f t="shared" ca="1" si="34"/>
        <v>24674.003995943072</v>
      </c>
      <c r="AT10" s="18">
        <f t="shared" ca="1" si="35"/>
        <v>25230.345638640243</v>
      </c>
      <c r="AU10" s="18">
        <f t="shared" ca="1" si="36"/>
        <v>23236.551839650565</v>
      </c>
      <c r="AV10" s="18">
        <f t="shared" ca="1" si="37"/>
        <v>23936.010226808234</v>
      </c>
      <c r="AW10" s="18">
        <f t="shared" ca="1" si="38"/>
        <v>23814.911173939614</v>
      </c>
      <c r="AX10" s="18">
        <f t="shared" ca="1" si="39"/>
        <v>24527.998602873377</v>
      </c>
      <c r="AY10" s="18">
        <f t="shared" ca="1" si="40"/>
        <v>23482.00031951478</v>
      </c>
      <c r="AZ10" s="18">
        <f t="shared" ca="1" si="41"/>
        <v>24019.808683290903</v>
      </c>
      <c r="BA10" s="18">
        <f t="shared" ca="1" si="42"/>
        <v>25273.503504821474</v>
      </c>
      <c r="BB10" s="18">
        <f t="shared" ca="1" si="43"/>
        <v>24360.979659243647</v>
      </c>
      <c r="BC10" s="18">
        <f t="shared" ca="1" si="44"/>
        <v>24134.286373420833</v>
      </c>
      <c r="BD10" s="18">
        <f t="shared" ca="1" si="45"/>
        <v>24731.251738567615</v>
      </c>
      <c r="BE10" s="18">
        <f t="shared" ca="1" si="46"/>
        <v>25428.120970617027</v>
      </c>
      <c r="BF10" s="18">
        <f t="shared" ca="1" si="47"/>
        <v>24734.030439887891</v>
      </c>
      <c r="BG10" s="18">
        <f t="shared" ca="1" si="48"/>
        <v>23781.877120731442</v>
      </c>
      <c r="BH10" s="18">
        <f t="shared" ca="1" si="49"/>
        <v>24344.309081349569</v>
      </c>
      <c r="BI10" s="18">
        <f t="shared" ca="1" si="50"/>
        <v>24558.564589786904</v>
      </c>
      <c r="BJ10" s="18">
        <f t="shared" ca="1" si="51"/>
        <v>23932.926926767497</v>
      </c>
      <c r="BK10" s="18">
        <f t="shared" ca="1" si="52"/>
        <v>24082.495840001819</v>
      </c>
      <c r="BL10" s="18">
        <f t="shared" ca="1" si="53"/>
        <v>24012.462831694495</v>
      </c>
      <c r="BM10" s="18">
        <f t="shared" ca="1" si="54"/>
        <v>22349.553783787636</v>
      </c>
      <c r="BN10" s="18">
        <f t="shared" ca="1" si="55"/>
        <v>23427.993225595674</v>
      </c>
      <c r="BO10" s="18">
        <f t="shared" ca="1" si="56"/>
        <v>24385.475276660214</v>
      </c>
      <c r="BP10" s="18">
        <f t="shared" ca="1" si="57"/>
        <v>23212.052672461497</v>
      </c>
      <c r="BQ10" s="18">
        <f t="shared" ca="1" si="58"/>
        <v>24844.328215025587</v>
      </c>
      <c r="BR10" s="18">
        <f t="shared" ca="1" si="59"/>
        <v>24955.8259791374</v>
      </c>
      <c r="BS10" s="18">
        <f t="shared" ca="1" si="60"/>
        <v>23573.483455858237</v>
      </c>
      <c r="BT10" s="18">
        <f t="shared" ca="1" si="61"/>
        <v>23778.663682424296</v>
      </c>
      <c r="BU10" s="18">
        <f t="shared" ca="1" si="62"/>
        <v>25342.221486906365</v>
      </c>
      <c r="BV10" s="18">
        <f t="shared" ca="1" si="63"/>
        <v>24000.522421938</v>
      </c>
      <c r="BW10" s="18">
        <f t="shared" ca="1" si="64"/>
        <v>24393.243006414745</v>
      </c>
      <c r="BX10" s="18">
        <f t="shared" ca="1" si="65"/>
        <v>24202.319680575223</v>
      </c>
      <c r="BY10" s="18">
        <f t="shared" ca="1" si="66"/>
        <v>24169.99533932369</v>
      </c>
      <c r="BZ10" s="18">
        <f t="shared" ca="1" si="67"/>
        <v>22838.805257442065</v>
      </c>
      <c r="CA10" s="18">
        <f t="shared" ca="1" si="68"/>
        <v>24146.898602726062</v>
      </c>
      <c r="CB10" s="18">
        <f t="shared" ca="1" si="69"/>
        <v>24949.657862198503</v>
      </c>
      <c r="CC10" s="18">
        <f t="shared" ca="1" si="70"/>
        <v>23597.581678545415</v>
      </c>
      <c r="CD10" s="18">
        <f t="shared" ca="1" si="71"/>
        <v>24656.557706403317</v>
      </c>
      <c r="CE10" s="18">
        <f t="shared" ca="1" si="72"/>
        <v>23886.472647153543</v>
      </c>
      <c r="CF10" s="18">
        <f t="shared" ca="1" si="73"/>
        <v>23661.957600611262</v>
      </c>
      <c r="CG10" s="18">
        <f t="shared" ca="1" si="74"/>
        <v>23584.736004216695</v>
      </c>
      <c r="CH10" s="18">
        <f t="shared" ca="1" si="75"/>
        <v>23443.415799566836</v>
      </c>
      <c r="CI10" s="18">
        <f t="shared" ca="1" si="76"/>
        <v>23751.259230404394</v>
      </c>
      <c r="CJ10" s="18">
        <f t="shared" ca="1" si="77"/>
        <v>24142.348437037017</v>
      </c>
      <c r="CK10" s="18">
        <f t="shared" ca="1" si="78"/>
        <v>23755.811337663257</v>
      </c>
      <c r="CL10" s="18">
        <f t="shared" ca="1" si="79"/>
        <v>24105.794947219732</v>
      </c>
      <c r="CM10" s="18">
        <f t="shared" ca="1" si="80"/>
        <v>23731.037886784816</v>
      </c>
      <c r="CN10" s="18">
        <f t="shared" ca="1" si="81"/>
        <v>24786.617115487436</v>
      </c>
      <c r="CO10" s="18">
        <f t="shared" ca="1" si="82"/>
        <v>24174.177613357264</v>
      </c>
      <c r="CP10" s="18">
        <f t="shared" ca="1" si="83"/>
        <v>24021.606293707217</v>
      </c>
      <c r="CQ10" s="18">
        <f t="shared" ca="1" si="84"/>
        <v>24012.920567676665</v>
      </c>
      <c r="CR10" s="18">
        <f t="shared" ca="1" si="85"/>
        <v>24022.73707395712</v>
      </c>
      <c r="CS10" s="18">
        <f t="shared" ca="1" si="86"/>
        <v>23322.422300293045</v>
      </c>
      <c r="CT10" s="18">
        <f t="shared" ca="1" si="87"/>
        <v>24563.450473553923</v>
      </c>
      <c r="CU10" s="18">
        <f t="shared" ca="1" si="88"/>
        <v>24770.245372833968</v>
      </c>
      <c r="CV10" s="18">
        <f t="shared" ca="1" si="89"/>
        <v>23792.340230020378</v>
      </c>
      <c r="CW10" s="18">
        <f t="shared" ca="1" si="90"/>
        <v>24009.412817510529</v>
      </c>
      <c r="CX10" s="18">
        <f t="shared" ca="1" si="91"/>
        <v>24352.211709107152</v>
      </c>
      <c r="CY10" s="18">
        <f t="shared" ca="1" si="92"/>
        <v>24346.436857144054</v>
      </c>
      <c r="CZ10" s="18">
        <f t="shared" ca="1" si="93"/>
        <v>23513.832794571917</v>
      </c>
      <c r="DA10" s="18">
        <f t="shared" ca="1" si="94"/>
        <v>24025.680348618498</v>
      </c>
      <c r="DB10" s="18">
        <f t="shared" ca="1" si="95"/>
        <v>23271.279769964585</v>
      </c>
      <c r="DC10" s="18">
        <f t="shared" ca="1" si="96"/>
        <v>24538.02029182862</v>
      </c>
      <c r="DD10" s="18">
        <f t="shared" ca="1" si="97"/>
        <v>23993.295118065002</v>
      </c>
      <c r="DE10" s="18">
        <f t="shared" ca="1" si="98"/>
        <v>25352.888024126831</v>
      </c>
      <c r="DG10" s="12" t="s">
        <v>146</v>
      </c>
      <c r="DH10" s="25">
        <f>DH9-(DH6*SQRT(DH7))</f>
        <v>3.9332115966102983E-2</v>
      </c>
      <c r="DI10" s="25">
        <f>DH10</f>
        <v>3.9332115966102983E-2</v>
      </c>
    </row>
    <row r="11" spans="1:117" x14ac:dyDescent="0.35">
      <c r="A11" s="16">
        <v>44441</v>
      </c>
      <c r="B11" s="17">
        <v>17234.150000000001</v>
      </c>
      <c r="C11" s="10"/>
      <c r="D11" s="19">
        <f t="shared" si="0"/>
        <v>9.2042712853325718E-3</v>
      </c>
      <c r="E11" s="34"/>
      <c r="F11" s="34"/>
      <c r="G11" s="34"/>
      <c r="H11" s="34"/>
      <c r="I11" s="13" t="s">
        <v>14</v>
      </c>
      <c r="J11" s="18">
        <f t="shared" ca="1" si="100"/>
        <v>24818.607186134774</v>
      </c>
      <c r="K11" s="18">
        <f t="shared" ca="1" si="1"/>
        <v>24674.090443539204</v>
      </c>
      <c r="L11" s="18">
        <f t="shared" ca="1" si="1"/>
        <v>22886.810901265326</v>
      </c>
      <c r="M11" s="18">
        <f t="shared" ca="1" si="2"/>
        <v>24911.613554029354</v>
      </c>
      <c r="N11" s="18">
        <f t="shared" ca="1" si="3"/>
        <v>24926.558119201862</v>
      </c>
      <c r="O11" s="18">
        <f t="shared" ca="1" si="4"/>
        <v>24357.058677887559</v>
      </c>
      <c r="P11" s="18">
        <f t="shared" ca="1" si="5"/>
        <v>23986.154627726715</v>
      </c>
      <c r="Q11" s="18">
        <f t="shared" ca="1" si="6"/>
        <v>24037.548702665739</v>
      </c>
      <c r="R11" s="18">
        <f t="shared" ca="1" si="7"/>
        <v>24471.690682994147</v>
      </c>
      <c r="S11" s="18">
        <f t="shared" ca="1" si="8"/>
        <v>24228.072389441812</v>
      </c>
      <c r="T11" s="18">
        <f t="shared" ca="1" si="9"/>
        <v>23653.228447468355</v>
      </c>
      <c r="U11" s="18">
        <f t="shared" ca="1" si="10"/>
        <v>24408.336489417219</v>
      </c>
      <c r="V11" s="18">
        <f t="shared" ca="1" si="11"/>
        <v>23683.870701272881</v>
      </c>
      <c r="W11" s="18">
        <f t="shared" ca="1" si="12"/>
        <v>23076.000535877331</v>
      </c>
      <c r="X11" s="18">
        <f t="shared" ca="1" si="13"/>
        <v>25652.273045134461</v>
      </c>
      <c r="Y11" s="18">
        <f t="shared" ca="1" si="14"/>
        <v>22623.950905602382</v>
      </c>
      <c r="Z11" s="18">
        <f t="shared" ca="1" si="15"/>
        <v>23311.438617341406</v>
      </c>
      <c r="AA11" s="18">
        <f t="shared" ca="1" si="16"/>
        <v>23955.550954922204</v>
      </c>
      <c r="AB11" s="18">
        <f t="shared" ca="1" si="17"/>
        <v>25094.07885466321</v>
      </c>
      <c r="AC11" s="18">
        <f t="shared" ca="1" si="18"/>
        <v>23715.931983968934</v>
      </c>
      <c r="AD11" s="18">
        <f t="shared" ca="1" si="19"/>
        <v>24386.91354977111</v>
      </c>
      <c r="AE11" s="18">
        <f t="shared" ca="1" si="20"/>
        <v>23826.337962634036</v>
      </c>
      <c r="AF11" s="18">
        <f t="shared" ca="1" si="21"/>
        <v>24529.97607499615</v>
      </c>
      <c r="AG11" s="18">
        <f t="shared" ca="1" si="22"/>
        <v>23504.773830579055</v>
      </c>
      <c r="AH11" s="18">
        <f t="shared" ca="1" si="23"/>
        <v>25609.106333771255</v>
      </c>
      <c r="AI11" s="18">
        <f t="shared" ca="1" si="24"/>
        <v>23937.622263697835</v>
      </c>
      <c r="AJ11" s="18">
        <f t="shared" ca="1" si="25"/>
        <v>23570.459640644945</v>
      </c>
      <c r="AK11" s="18">
        <f t="shared" ca="1" si="26"/>
        <v>24346.148495734655</v>
      </c>
      <c r="AL11" s="18">
        <f t="shared" ca="1" si="27"/>
        <v>24298.482774707965</v>
      </c>
      <c r="AM11" s="18">
        <f t="shared" ca="1" si="28"/>
        <v>24346.791860180943</v>
      </c>
      <c r="AN11" s="18">
        <f t="shared" ca="1" si="29"/>
        <v>24830.309990479109</v>
      </c>
      <c r="AO11" s="18">
        <f t="shared" ca="1" si="30"/>
        <v>24208.148139538891</v>
      </c>
      <c r="AP11" s="18">
        <f t="shared" ca="1" si="31"/>
        <v>23616.458572976429</v>
      </c>
      <c r="AQ11" s="18">
        <f t="shared" ca="1" si="32"/>
        <v>24180.825866697065</v>
      </c>
      <c r="AR11" s="18">
        <f t="shared" ca="1" si="33"/>
        <v>24262.685504089906</v>
      </c>
      <c r="AS11" s="18">
        <f t="shared" ca="1" si="34"/>
        <v>24745.804580535245</v>
      </c>
      <c r="AT11" s="18">
        <f t="shared" ca="1" si="35"/>
        <v>25225.837498992893</v>
      </c>
      <c r="AU11" s="18">
        <f t="shared" ca="1" si="36"/>
        <v>23282.087702215777</v>
      </c>
      <c r="AV11" s="18">
        <f t="shared" ca="1" si="37"/>
        <v>23808.827749260287</v>
      </c>
      <c r="AW11" s="18">
        <f t="shared" ca="1" si="38"/>
        <v>23971.415738159765</v>
      </c>
      <c r="AX11" s="18">
        <f t="shared" ca="1" si="39"/>
        <v>24855.432049793981</v>
      </c>
      <c r="AY11" s="18">
        <f t="shared" ca="1" si="40"/>
        <v>23605.894947123972</v>
      </c>
      <c r="AZ11" s="18">
        <f t="shared" ca="1" si="41"/>
        <v>24444.22197480399</v>
      </c>
      <c r="BA11" s="18">
        <f t="shared" ca="1" si="42"/>
        <v>25485.709980115706</v>
      </c>
      <c r="BB11" s="18">
        <f t="shared" ca="1" si="43"/>
        <v>24208.214499714126</v>
      </c>
      <c r="BC11" s="18">
        <f t="shared" ca="1" si="44"/>
        <v>23931.784581082407</v>
      </c>
      <c r="BD11" s="18">
        <f t="shared" ca="1" si="45"/>
        <v>24687.287322629516</v>
      </c>
      <c r="BE11" s="18">
        <f t="shared" ca="1" si="46"/>
        <v>25375.224480775294</v>
      </c>
      <c r="BF11" s="18">
        <f t="shared" ca="1" si="47"/>
        <v>24448.953524175904</v>
      </c>
      <c r="BG11" s="18">
        <f t="shared" ca="1" si="48"/>
        <v>23859.211372726113</v>
      </c>
      <c r="BH11" s="18">
        <f t="shared" ca="1" si="49"/>
        <v>24315.485658320715</v>
      </c>
      <c r="BI11" s="18">
        <f t="shared" ca="1" si="50"/>
        <v>24379.071500653434</v>
      </c>
      <c r="BJ11" s="18">
        <f t="shared" ca="1" si="51"/>
        <v>23593.186242503678</v>
      </c>
      <c r="BK11" s="18">
        <f t="shared" ca="1" si="52"/>
        <v>24277.458832143038</v>
      </c>
      <c r="BL11" s="18">
        <f t="shared" ca="1" si="53"/>
        <v>23612.33036826337</v>
      </c>
      <c r="BM11" s="18">
        <f t="shared" ca="1" si="54"/>
        <v>22645.844652995831</v>
      </c>
      <c r="BN11" s="18">
        <f t="shared" ca="1" si="55"/>
        <v>23437.685508599101</v>
      </c>
      <c r="BO11" s="18">
        <f t="shared" ca="1" si="56"/>
        <v>24312.484925948957</v>
      </c>
      <c r="BP11" s="18">
        <f t="shared" ca="1" si="57"/>
        <v>23039.583364453603</v>
      </c>
      <c r="BQ11" s="18">
        <f t="shared" ca="1" si="58"/>
        <v>24980.57861495878</v>
      </c>
      <c r="BR11" s="18">
        <f t="shared" ca="1" si="59"/>
        <v>25142.868962491881</v>
      </c>
      <c r="BS11" s="18">
        <f t="shared" ca="1" si="60"/>
        <v>23452.127413301601</v>
      </c>
      <c r="BT11" s="18">
        <f t="shared" ca="1" si="61"/>
        <v>23799.82347490422</v>
      </c>
      <c r="BU11" s="18">
        <f t="shared" ca="1" si="62"/>
        <v>25431.487613476704</v>
      </c>
      <c r="BV11" s="18">
        <f t="shared" ca="1" si="63"/>
        <v>23962.851763520986</v>
      </c>
      <c r="BW11" s="18">
        <f t="shared" ca="1" si="64"/>
        <v>24851.484559801185</v>
      </c>
      <c r="BX11" s="18">
        <f t="shared" ca="1" si="65"/>
        <v>24338.439895589629</v>
      </c>
      <c r="BY11" s="18">
        <f t="shared" ca="1" si="66"/>
        <v>24110.347018324304</v>
      </c>
      <c r="BZ11" s="18">
        <f t="shared" ca="1" si="67"/>
        <v>22703.334892875791</v>
      </c>
      <c r="CA11" s="18">
        <f t="shared" ca="1" si="68"/>
        <v>24058.274919049942</v>
      </c>
      <c r="CB11" s="18">
        <f t="shared" ca="1" si="69"/>
        <v>25062.217235592459</v>
      </c>
      <c r="CC11" s="18">
        <f t="shared" ca="1" si="70"/>
        <v>23729.564520182095</v>
      </c>
      <c r="CD11" s="18">
        <f t="shared" ca="1" si="71"/>
        <v>24902.696483111606</v>
      </c>
      <c r="CE11" s="18">
        <f t="shared" ca="1" si="72"/>
        <v>24125.996328825389</v>
      </c>
      <c r="CF11" s="18">
        <f t="shared" ca="1" si="73"/>
        <v>23622.179192260923</v>
      </c>
      <c r="CG11" s="18">
        <f t="shared" ca="1" si="74"/>
        <v>23711.727202910981</v>
      </c>
      <c r="CH11" s="18">
        <f t="shared" ca="1" si="75"/>
        <v>23452.992122318858</v>
      </c>
      <c r="CI11" s="18">
        <f t="shared" ca="1" si="76"/>
        <v>23723.306302620389</v>
      </c>
      <c r="CJ11" s="18">
        <f t="shared" ca="1" si="77"/>
        <v>24178.292379064205</v>
      </c>
      <c r="CK11" s="18">
        <f t="shared" ca="1" si="78"/>
        <v>23773.579865213946</v>
      </c>
      <c r="CL11" s="18">
        <f t="shared" ca="1" si="79"/>
        <v>24343.987206768634</v>
      </c>
      <c r="CM11" s="18">
        <f t="shared" ca="1" si="80"/>
        <v>23625.541047294944</v>
      </c>
      <c r="CN11" s="18">
        <f t="shared" ca="1" si="81"/>
        <v>24898.444049369955</v>
      </c>
      <c r="CO11" s="18">
        <f t="shared" ca="1" si="82"/>
        <v>24600.067674426296</v>
      </c>
      <c r="CP11" s="18">
        <f t="shared" ca="1" si="83"/>
        <v>24163.410759790273</v>
      </c>
      <c r="CQ11" s="18">
        <f t="shared" ca="1" si="84"/>
        <v>24074.133103265922</v>
      </c>
      <c r="CR11" s="18">
        <f t="shared" ca="1" si="85"/>
        <v>23978.100120315503</v>
      </c>
      <c r="CS11" s="18">
        <f t="shared" ca="1" si="86"/>
        <v>22982.535021532483</v>
      </c>
      <c r="CT11" s="18">
        <f t="shared" ca="1" si="87"/>
        <v>24690.649155792729</v>
      </c>
      <c r="CU11" s="18">
        <f t="shared" ca="1" si="88"/>
        <v>24797.504045550093</v>
      </c>
      <c r="CV11" s="18">
        <f t="shared" ca="1" si="89"/>
        <v>23860.962840745378</v>
      </c>
      <c r="CW11" s="18">
        <f t="shared" ca="1" si="90"/>
        <v>24323.153836564277</v>
      </c>
      <c r="CX11" s="18">
        <f t="shared" ca="1" si="91"/>
        <v>24903.886121669228</v>
      </c>
      <c r="CY11" s="18">
        <f t="shared" ca="1" si="92"/>
        <v>24536.060997939134</v>
      </c>
      <c r="CZ11" s="18">
        <f t="shared" ca="1" si="93"/>
        <v>23232.882760098946</v>
      </c>
      <c r="DA11" s="18">
        <f t="shared" ca="1" si="94"/>
        <v>24155.057034770485</v>
      </c>
      <c r="DB11" s="18">
        <f t="shared" ca="1" si="95"/>
        <v>23055.789029404092</v>
      </c>
      <c r="DC11" s="18">
        <f t="shared" ca="1" si="96"/>
        <v>24206.254997048083</v>
      </c>
      <c r="DD11" s="18">
        <f t="shared" ca="1" si="97"/>
        <v>24211.114963199911</v>
      </c>
      <c r="DE11" s="18">
        <f t="shared" ca="1" si="98"/>
        <v>24994.756472293011</v>
      </c>
    </row>
    <row r="12" spans="1:117" x14ac:dyDescent="0.35">
      <c r="A12" s="16">
        <v>44442</v>
      </c>
      <c r="B12" s="17">
        <v>17323.599999999999</v>
      </c>
      <c r="C12" s="10"/>
      <c r="D12" s="19">
        <f t="shared" si="0"/>
        <v>5.1768532251176254E-3</v>
      </c>
      <c r="E12" s="34"/>
      <c r="F12" s="34"/>
      <c r="G12" s="34"/>
      <c r="H12" s="34"/>
      <c r="I12" s="13" t="s">
        <v>15</v>
      </c>
      <c r="J12" s="18">
        <f t="shared" ca="1" si="100"/>
        <v>24815.94732132951</v>
      </c>
      <c r="K12" s="18">
        <f t="shared" ca="1" si="1"/>
        <v>24505.914608770297</v>
      </c>
      <c r="L12" s="18">
        <f t="shared" ca="1" si="1"/>
        <v>22957.6042038415</v>
      </c>
      <c r="M12" s="18">
        <f t="shared" ca="1" si="2"/>
        <v>24805.585030951268</v>
      </c>
      <c r="N12" s="18">
        <f t="shared" ca="1" si="3"/>
        <v>24905.784094445295</v>
      </c>
      <c r="O12" s="18">
        <f t="shared" ca="1" si="4"/>
        <v>24478.341727263425</v>
      </c>
      <c r="P12" s="18">
        <f t="shared" ca="1" si="5"/>
        <v>23922.461533335063</v>
      </c>
      <c r="Q12" s="18">
        <f t="shared" ca="1" si="6"/>
        <v>24213.292927186361</v>
      </c>
      <c r="R12" s="18">
        <f t="shared" ca="1" si="7"/>
        <v>23980.316341091555</v>
      </c>
      <c r="S12" s="18">
        <f t="shared" ca="1" si="8"/>
        <v>24186.248996872986</v>
      </c>
      <c r="T12" s="18">
        <f t="shared" ca="1" si="9"/>
        <v>23528.200162261826</v>
      </c>
      <c r="U12" s="18">
        <f t="shared" ca="1" si="10"/>
        <v>24346.642916298493</v>
      </c>
      <c r="V12" s="18">
        <f t="shared" ca="1" si="11"/>
        <v>23647.222808363163</v>
      </c>
      <c r="W12" s="18">
        <f t="shared" ca="1" si="12"/>
        <v>22937.215835382212</v>
      </c>
      <c r="X12" s="18">
        <f t="shared" ca="1" si="13"/>
        <v>25690.253618515417</v>
      </c>
      <c r="Y12" s="18">
        <f t="shared" ca="1" si="14"/>
        <v>22563.579282392879</v>
      </c>
      <c r="Z12" s="18">
        <f t="shared" ca="1" si="15"/>
        <v>23259.038004944086</v>
      </c>
      <c r="AA12" s="18">
        <f t="shared" ca="1" si="16"/>
        <v>24238.257843014711</v>
      </c>
      <c r="AB12" s="18">
        <f t="shared" ca="1" si="17"/>
        <v>25034.371404820995</v>
      </c>
      <c r="AC12" s="18">
        <f t="shared" ca="1" si="18"/>
        <v>23926.583965121758</v>
      </c>
      <c r="AD12" s="18">
        <f t="shared" ca="1" si="19"/>
        <v>23926.655883012234</v>
      </c>
      <c r="AE12" s="18">
        <f t="shared" ca="1" si="20"/>
        <v>23518.107701286288</v>
      </c>
      <c r="AF12" s="18">
        <f t="shared" ca="1" si="21"/>
        <v>24523.527967380305</v>
      </c>
      <c r="AG12" s="18">
        <f t="shared" ca="1" si="22"/>
        <v>23516.594432013782</v>
      </c>
      <c r="AH12" s="18">
        <f t="shared" ca="1" si="23"/>
        <v>25818.197445686652</v>
      </c>
      <c r="AI12" s="18">
        <f t="shared" ca="1" si="24"/>
        <v>23706.012357651831</v>
      </c>
      <c r="AJ12" s="18">
        <f t="shared" ca="1" si="25"/>
        <v>23677.532279112835</v>
      </c>
      <c r="AK12" s="18">
        <f t="shared" ca="1" si="26"/>
        <v>24597.96361987678</v>
      </c>
      <c r="AL12" s="18">
        <f t="shared" ca="1" si="27"/>
        <v>24273.41833568865</v>
      </c>
      <c r="AM12" s="18">
        <f t="shared" ca="1" si="28"/>
        <v>24194.639369936147</v>
      </c>
      <c r="AN12" s="18">
        <f t="shared" ca="1" si="29"/>
        <v>24996.528915693027</v>
      </c>
      <c r="AO12" s="18">
        <f t="shared" ca="1" si="30"/>
        <v>24233.87935622365</v>
      </c>
      <c r="AP12" s="18">
        <f t="shared" ca="1" si="31"/>
        <v>23447.449986432301</v>
      </c>
      <c r="AQ12" s="18">
        <f t="shared" ca="1" si="32"/>
        <v>24447.449159836284</v>
      </c>
      <c r="AR12" s="18">
        <f t="shared" ca="1" si="33"/>
        <v>24280.048494875275</v>
      </c>
      <c r="AS12" s="18">
        <f t="shared" ca="1" si="34"/>
        <v>24953.642851009612</v>
      </c>
      <c r="AT12" s="18">
        <f t="shared" ca="1" si="35"/>
        <v>25574.124424239428</v>
      </c>
      <c r="AU12" s="18">
        <f t="shared" ca="1" si="36"/>
        <v>23109.11549079018</v>
      </c>
      <c r="AV12" s="18">
        <f t="shared" ca="1" si="37"/>
        <v>24154.736573135135</v>
      </c>
      <c r="AW12" s="18">
        <f t="shared" ca="1" si="38"/>
        <v>23890.491882283201</v>
      </c>
      <c r="AX12" s="18">
        <f t="shared" ca="1" si="39"/>
        <v>24948.851494108039</v>
      </c>
      <c r="AY12" s="18">
        <f t="shared" ca="1" si="40"/>
        <v>23747.952095374076</v>
      </c>
      <c r="AZ12" s="18">
        <f t="shared" ca="1" si="41"/>
        <v>24475.810723692142</v>
      </c>
      <c r="BA12" s="18">
        <f t="shared" ca="1" si="42"/>
        <v>25301.906148351594</v>
      </c>
      <c r="BB12" s="18">
        <f t="shared" ca="1" si="43"/>
        <v>24523.843088318172</v>
      </c>
      <c r="BC12" s="18">
        <f t="shared" ca="1" si="44"/>
        <v>23895.560043460155</v>
      </c>
      <c r="BD12" s="18">
        <f t="shared" ca="1" si="45"/>
        <v>24955.425841986747</v>
      </c>
      <c r="BE12" s="18">
        <f t="shared" ca="1" si="46"/>
        <v>25202.011599735048</v>
      </c>
      <c r="BF12" s="18">
        <f t="shared" ca="1" si="47"/>
        <v>24774.701658414666</v>
      </c>
      <c r="BG12" s="18">
        <f t="shared" ca="1" si="48"/>
        <v>23664.714876201167</v>
      </c>
      <c r="BH12" s="18">
        <f t="shared" ca="1" si="49"/>
        <v>24152.001220302205</v>
      </c>
      <c r="BI12" s="18">
        <f t="shared" ca="1" si="50"/>
        <v>24358.37322096169</v>
      </c>
      <c r="BJ12" s="18">
        <f t="shared" ca="1" si="51"/>
        <v>23740.829152480692</v>
      </c>
      <c r="BK12" s="18">
        <f t="shared" ca="1" si="52"/>
        <v>24666.669640606298</v>
      </c>
      <c r="BL12" s="18">
        <f t="shared" ca="1" si="53"/>
        <v>23676.247037008889</v>
      </c>
      <c r="BM12" s="18">
        <f t="shared" ca="1" si="54"/>
        <v>22685.088130784097</v>
      </c>
      <c r="BN12" s="18">
        <f t="shared" ca="1" si="55"/>
        <v>23520.952538075064</v>
      </c>
      <c r="BO12" s="18">
        <f t="shared" ca="1" si="56"/>
        <v>24194.574852306796</v>
      </c>
      <c r="BP12" s="18">
        <f t="shared" ca="1" si="57"/>
        <v>23159.685973135183</v>
      </c>
      <c r="BQ12" s="18">
        <f t="shared" ca="1" si="58"/>
        <v>25146.15721758443</v>
      </c>
      <c r="BR12" s="18">
        <f t="shared" ca="1" si="59"/>
        <v>25189.399533274693</v>
      </c>
      <c r="BS12" s="18">
        <f t="shared" ca="1" si="60"/>
        <v>23701.180804941534</v>
      </c>
      <c r="BT12" s="18">
        <f t="shared" ca="1" si="61"/>
        <v>23558.633337037165</v>
      </c>
      <c r="BU12" s="18">
        <f t="shared" ca="1" si="62"/>
        <v>24939.406134252771</v>
      </c>
      <c r="BV12" s="18">
        <f t="shared" ca="1" si="63"/>
        <v>23917.620778360684</v>
      </c>
      <c r="BW12" s="18">
        <f t="shared" ca="1" si="64"/>
        <v>25160.902417107904</v>
      </c>
      <c r="BX12" s="18">
        <f t="shared" ca="1" si="65"/>
        <v>24466.638800407214</v>
      </c>
      <c r="BY12" s="18">
        <f t="shared" ca="1" si="66"/>
        <v>24279.796201183552</v>
      </c>
      <c r="BZ12" s="18">
        <f t="shared" ca="1" si="67"/>
        <v>22502.541386212346</v>
      </c>
      <c r="CA12" s="18">
        <f t="shared" ca="1" si="68"/>
        <v>24103.554023238288</v>
      </c>
      <c r="CB12" s="18">
        <f t="shared" ca="1" si="69"/>
        <v>25208.560612029039</v>
      </c>
      <c r="CC12" s="18">
        <f t="shared" ca="1" si="70"/>
        <v>23731.901365540245</v>
      </c>
      <c r="CD12" s="18">
        <f t="shared" ca="1" si="71"/>
        <v>24894.688250437979</v>
      </c>
      <c r="CE12" s="18">
        <f t="shared" ca="1" si="72"/>
        <v>24195.578198450879</v>
      </c>
      <c r="CF12" s="18">
        <f t="shared" ca="1" si="73"/>
        <v>23592.950333347238</v>
      </c>
      <c r="CG12" s="18">
        <f t="shared" ca="1" si="74"/>
        <v>23595.089898077582</v>
      </c>
      <c r="CH12" s="18">
        <f t="shared" ca="1" si="75"/>
        <v>23563.570141047439</v>
      </c>
      <c r="CI12" s="18">
        <f t="shared" ca="1" si="76"/>
        <v>23526.892980332868</v>
      </c>
      <c r="CJ12" s="18">
        <f t="shared" ca="1" si="77"/>
        <v>24353.342963581112</v>
      </c>
      <c r="CK12" s="18">
        <f t="shared" ca="1" si="78"/>
        <v>23263.386678753963</v>
      </c>
      <c r="CL12" s="18">
        <f t="shared" ca="1" si="79"/>
        <v>24420.601141853826</v>
      </c>
      <c r="CM12" s="18">
        <f t="shared" ca="1" si="80"/>
        <v>24051.96909480113</v>
      </c>
      <c r="CN12" s="18">
        <f t="shared" ca="1" si="81"/>
        <v>24980.648532227027</v>
      </c>
      <c r="CO12" s="18">
        <f t="shared" ca="1" si="82"/>
        <v>24646.660575366597</v>
      </c>
      <c r="CP12" s="18">
        <f t="shared" ca="1" si="83"/>
        <v>24326.130581350259</v>
      </c>
      <c r="CQ12" s="18">
        <f t="shared" ca="1" si="84"/>
        <v>24271.441392075798</v>
      </c>
      <c r="CR12" s="18">
        <f t="shared" ca="1" si="85"/>
        <v>23855.986434259728</v>
      </c>
      <c r="CS12" s="18">
        <f t="shared" ca="1" si="86"/>
        <v>22975.835512203401</v>
      </c>
      <c r="CT12" s="18">
        <f t="shared" ca="1" si="87"/>
        <v>24489.665431392488</v>
      </c>
      <c r="CU12" s="18">
        <f t="shared" ca="1" si="88"/>
        <v>24844.03497729238</v>
      </c>
      <c r="CV12" s="18">
        <f t="shared" ca="1" si="89"/>
        <v>23671.519471837273</v>
      </c>
      <c r="CW12" s="18">
        <f t="shared" ca="1" si="90"/>
        <v>24488.304813173447</v>
      </c>
      <c r="CX12" s="18">
        <f t="shared" ca="1" si="91"/>
        <v>24972.804223739975</v>
      </c>
      <c r="CY12" s="18">
        <f t="shared" ca="1" si="92"/>
        <v>24400.80120140166</v>
      </c>
      <c r="CZ12" s="18">
        <f t="shared" ca="1" si="93"/>
        <v>22987.018780687664</v>
      </c>
      <c r="DA12" s="18">
        <f t="shared" ca="1" si="94"/>
        <v>24502.170211778859</v>
      </c>
      <c r="DB12" s="18">
        <f t="shared" ca="1" si="95"/>
        <v>22935.498834501508</v>
      </c>
      <c r="DC12" s="18">
        <f t="shared" ca="1" si="96"/>
        <v>23870.566375792172</v>
      </c>
      <c r="DD12" s="18">
        <f t="shared" ca="1" si="97"/>
        <v>24402.40715028191</v>
      </c>
      <c r="DE12" s="18">
        <f t="shared" ca="1" si="98"/>
        <v>24905.0591057973</v>
      </c>
      <c r="DG12" s="15" t="s">
        <v>147</v>
      </c>
      <c r="DH12" s="26">
        <f>DH3*_xlfn.NORM.S.DIST(DH9,1)-(DH4*_xlfn.NORM.S.DIST(DH10,1)*EXP(-DH5*DH7))</f>
        <v>424.24889552338209</v>
      </c>
      <c r="DI12" s="27">
        <f>(DI4*EXP(-DI5*DI7)*_xlfn.NORM.S.DIST(DI9,1))-(DI3*_xlfn.NORM.S.DIST(DI10,1))</f>
        <v>362.36541989672514</v>
      </c>
    </row>
    <row r="13" spans="1:117" x14ac:dyDescent="0.35">
      <c r="A13" s="16">
        <v>44445</v>
      </c>
      <c r="B13" s="17">
        <v>17377.8</v>
      </c>
      <c r="C13" s="10"/>
      <c r="D13" s="19">
        <f t="shared" si="0"/>
        <v>3.1237958165422752E-3</v>
      </c>
      <c r="E13" s="34"/>
      <c r="F13" s="34"/>
      <c r="G13" s="34"/>
      <c r="H13" s="34"/>
      <c r="I13" s="13" t="s">
        <v>16</v>
      </c>
      <c r="J13" s="18">
        <f t="shared" ca="1" si="100"/>
        <v>24806.771167770767</v>
      </c>
      <c r="K13" s="18">
        <f t="shared" ca="1" si="1"/>
        <v>24681.043319481887</v>
      </c>
      <c r="L13" s="18">
        <f t="shared" ca="1" si="1"/>
        <v>22848.417666751644</v>
      </c>
      <c r="M13" s="18">
        <f t="shared" ca="1" si="2"/>
        <v>25124.811090982726</v>
      </c>
      <c r="N13" s="18">
        <f t="shared" ca="1" si="3"/>
        <v>25153.509651274209</v>
      </c>
      <c r="O13" s="18">
        <f t="shared" ca="1" si="4"/>
        <v>24245.615978633432</v>
      </c>
      <c r="P13" s="18">
        <f t="shared" ca="1" si="5"/>
        <v>23662.442514182989</v>
      </c>
      <c r="Q13" s="18">
        <f t="shared" ca="1" si="6"/>
        <v>24403.468118638011</v>
      </c>
      <c r="R13" s="18">
        <f t="shared" ca="1" si="7"/>
        <v>24109.8769327111</v>
      </c>
      <c r="S13" s="18">
        <f t="shared" ca="1" si="8"/>
        <v>24096.408290807751</v>
      </c>
      <c r="T13" s="18">
        <f t="shared" ca="1" si="9"/>
        <v>22965.352472224004</v>
      </c>
      <c r="U13" s="18">
        <f t="shared" ca="1" si="10"/>
        <v>24452.948977621625</v>
      </c>
      <c r="V13" s="18">
        <f t="shared" ca="1" si="11"/>
        <v>23694.055490715855</v>
      </c>
      <c r="W13" s="18">
        <f t="shared" ca="1" si="12"/>
        <v>22975.014985196027</v>
      </c>
      <c r="X13" s="18">
        <f t="shared" ca="1" si="13"/>
        <v>25712.729349454803</v>
      </c>
      <c r="Y13" s="18">
        <f t="shared" ca="1" si="14"/>
        <v>22820.227681517757</v>
      </c>
      <c r="Z13" s="18">
        <f t="shared" ca="1" si="15"/>
        <v>23350.0572599312</v>
      </c>
      <c r="AA13" s="18">
        <f t="shared" ca="1" si="16"/>
        <v>24064.115247991387</v>
      </c>
      <c r="AB13" s="18">
        <f t="shared" ca="1" si="17"/>
        <v>24712.148643109358</v>
      </c>
      <c r="AC13" s="18">
        <f t="shared" ca="1" si="18"/>
        <v>23810.793629777749</v>
      </c>
      <c r="AD13" s="18">
        <f t="shared" ca="1" si="19"/>
        <v>23463.824338223196</v>
      </c>
      <c r="AE13" s="18">
        <f t="shared" ca="1" si="20"/>
        <v>23664.142495337521</v>
      </c>
      <c r="AF13" s="18">
        <f t="shared" ca="1" si="21"/>
        <v>24177.20178103121</v>
      </c>
      <c r="AG13" s="18">
        <f t="shared" ca="1" si="22"/>
        <v>23538.138761999828</v>
      </c>
      <c r="AH13" s="18">
        <f t="shared" ca="1" si="23"/>
        <v>26086.99821159663</v>
      </c>
      <c r="AI13" s="18">
        <f t="shared" ca="1" si="24"/>
        <v>23752.2299771463</v>
      </c>
      <c r="AJ13" s="18">
        <f t="shared" ca="1" si="25"/>
        <v>23455.43350194252</v>
      </c>
      <c r="AK13" s="18">
        <f t="shared" ca="1" si="26"/>
        <v>24647.235810471684</v>
      </c>
      <c r="AL13" s="18">
        <f t="shared" ca="1" si="27"/>
        <v>24619.614558466346</v>
      </c>
      <c r="AM13" s="18">
        <f t="shared" ca="1" si="28"/>
        <v>24184.260211566536</v>
      </c>
      <c r="AN13" s="18">
        <f t="shared" ca="1" si="29"/>
        <v>25230.472706656699</v>
      </c>
      <c r="AO13" s="18">
        <f t="shared" ca="1" si="30"/>
        <v>24309.151249809678</v>
      </c>
      <c r="AP13" s="18">
        <f t="shared" ca="1" si="31"/>
        <v>23329.522199692943</v>
      </c>
      <c r="AQ13" s="18">
        <f t="shared" ca="1" si="32"/>
        <v>24475.630647879116</v>
      </c>
      <c r="AR13" s="18">
        <f t="shared" ca="1" si="33"/>
        <v>24252.416020122939</v>
      </c>
      <c r="AS13" s="18">
        <f t="shared" ca="1" si="34"/>
        <v>25411.209879941991</v>
      </c>
      <c r="AT13" s="18">
        <f t="shared" ca="1" si="35"/>
        <v>25741.22075369611</v>
      </c>
      <c r="AU13" s="18">
        <f t="shared" ca="1" si="36"/>
        <v>23009.315977521419</v>
      </c>
      <c r="AV13" s="18">
        <f t="shared" ca="1" si="37"/>
        <v>24162.734007728566</v>
      </c>
      <c r="AW13" s="18">
        <f t="shared" ca="1" si="38"/>
        <v>23896.414900032785</v>
      </c>
      <c r="AX13" s="18">
        <f t="shared" ca="1" si="39"/>
        <v>24701.18123228243</v>
      </c>
      <c r="AY13" s="18">
        <f t="shared" ca="1" si="40"/>
        <v>23726.31008133767</v>
      </c>
      <c r="AZ13" s="18">
        <f t="shared" ca="1" si="41"/>
        <v>24645.650137068504</v>
      </c>
      <c r="BA13" s="18">
        <f t="shared" ca="1" si="42"/>
        <v>25386.446392446393</v>
      </c>
      <c r="BB13" s="18">
        <f t="shared" ca="1" si="43"/>
        <v>24365.567159730734</v>
      </c>
      <c r="BC13" s="18">
        <f t="shared" ca="1" si="44"/>
        <v>23409.605247835781</v>
      </c>
      <c r="BD13" s="18">
        <f t="shared" ca="1" si="45"/>
        <v>25088.179712296711</v>
      </c>
      <c r="BE13" s="18">
        <f t="shared" ca="1" si="46"/>
        <v>25138.799603866504</v>
      </c>
      <c r="BF13" s="18">
        <f t="shared" ca="1" si="47"/>
        <v>24426.003031360367</v>
      </c>
      <c r="BG13" s="18">
        <f t="shared" ca="1" si="48"/>
        <v>23879.492517537215</v>
      </c>
      <c r="BH13" s="18">
        <f t="shared" ca="1" si="49"/>
        <v>24306.282963443016</v>
      </c>
      <c r="BI13" s="18">
        <f t="shared" ca="1" si="50"/>
        <v>24414.394053286022</v>
      </c>
      <c r="BJ13" s="18">
        <f t="shared" ca="1" si="51"/>
        <v>23613.731721819026</v>
      </c>
      <c r="BK13" s="18">
        <f t="shared" ca="1" si="52"/>
        <v>24729.367158082627</v>
      </c>
      <c r="BL13" s="18">
        <f t="shared" ca="1" si="53"/>
        <v>23721.236563166</v>
      </c>
      <c r="BM13" s="18">
        <f t="shared" ca="1" si="54"/>
        <v>22648.176128858919</v>
      </c>
      <c r="BN13" s="18">
        <f t="shared" ca="1" si="55"/>
        <v>23329.429239866731</v>
      </c>
      <c r="BO13" s="18">
        <f t="shared" ca="1" si="56"/>
        <v>24289.832471444515</v>
      </c>
      <c r="BP13" s="18">
        <f t="shared" ca="1" si="57"/>
        <v>23181.357674630646</v>
      </c>
      <c r="BQ13" s="18">
        <f t="shared" ca="1" si="58"/>
        <v>24922.773151663179</v>
      </c>
      <c r="BR13" s="18">
        <f t="shared" ca="1" si="59"/>
        <v>24998.492974272831</v>
      </c>
      <c r="BS13" s="18">
        <f t="shared" ca="1" si="60"/>
        <v>24026.492183640999</v>
      </c>
      <c r="BT13" s="18">
        <f t="shared" ca="1" si="61"/>
        <v>23560.412404849001</v>
      </c>
      <c r="BU13" s="18">
        <f t="shared" ca="1" si="62"/>
        <v>24989.338938980134</v>
      </c>
      <c r="BV13" s="18">
        <f t="shared" ca="1" si="63"/>
        <v>23908.210519598077</v>
      </c>
      <c r="BW13" s="18">
        <f t="shared" ca="1" si="64"/>
        <v>24869.936180677742</v>
      </c>
      <c r="BX13" s="18">
        <f t="shared" ca="1" si="65"/>
        <v>24676.826871638383</v>
      </c>
      <c r="BY13" s="18">
        <f t="shared" ca="1" si="66"/>
        <v>24403.551422438333</v>
      </c>
      <c r="BZ13" s="18">
        <f t="shared" ca="1" si="67"/>
        <v>22319.303264416936</v>
      </c>
      <c r="CA13" s="18">
        <f t="shared" ca="1" si="68"/>
        <v>23802.023884561222</v>
      </c>
      <c r="CB13" s="18">
        <f t="shared" ca="1" si="69"/>
        <v>25098.757193499689</v>
      </c>
      <c r="CC13" s="18">
        <f t="shared" ca="1" si="70"/>
        <v>23767.36021126296</v>
      </c>
      <c r="CD13" s="18">
        <f t="shared" ca="1" si="71"/>
        <v>25045.051631879738</v>
      </c>
      <c r="CE13" s="18">
        <f t="shared" ca="1" si="72"/>
        <v>24401.287051725736</v>
      </c>
      <c r="CF13" s="18">
        <f t="shared" ca="1" si="73"/>
        <v>23417.533510023968</v>
      </c>
      <c r="CG13" s="18">
        <f t="shared" ca="1" si="74"/>
        <v>23839.85569057893</v>
      </c>
      <c r="CH13" s="18">
        <f t="shared" ca="1" si="75"/>
        <v>23829.40679237133</v>
      </c>
      <c r="CI13" s="18">
        <f t="shared" ca="1" si="76"/>
        <v>23327.91296770503</v>
      </c>
      <c r="CJ13" s="18">
        <f t="shared" ca="1" si="77"/>
        <v>24358.669876501674</v>
      </c>
      <c r="CK13" s="18">
        <f t="shared" ca="1" si="78"/>
        <v>23136.793238922921</v>
      </c>
      <c r="CL13" s="18">
        <f t="shared" ca="1" si="79"/>
        <v>24239.779189543326</v>
      </c>
      <c r="CM13" s="18">
        <f t="shared" ca="1" si="80"/>
        <v>23778.504746991657</v>
      </c>
      <c r="CN13" s="18">
        <f t="shared" ca="1" si="81"/>
        <v>25372.781920944322</v>
      </c>
      <c r="CO13" s="18">
        <f t="shared" ca="1" si="82"/>
        <v>24746.440326346925</v>
      </c>
      <c r="CP13" s="18">
        <f t="shared" ca="1" si="83"/>
        <v>24357.845828170488</v>
      </c>
      <c r="CQ13" s="18">
        <f t="shared" ca="1" si="84"/>
        <v>24228.342708446267</v>
      </c>
      <c r="CR13" s="18">
        <f t="shared" ca="1" si="85"/>
        <v>23770.07786993379</v>
      </c>
      <c r="CS13" s="18">
        <f t="shared" ca="1" si="86"/>
        <v>23043.586299536586</v>
      </c>
      <c r="CT13" s="18">
        <f t="shared" ca="1" si="87"/>
        <v>23997.975313851519</v>
      </c>
      <c r="CU13" s="18">
        <f t="shared" ca="1" si="88"/>
        <v>24916.336331592309</v>
      </c>
      <c r="CV13" s="18">
        <f t="shared" ca="1" si="89"/>
        <v>23754.633779442316</v>
      </c>
      <c r="CW13" s="18">
        <f t="shared" ca="1" si="90"/>
        <v>24158.618768575168</v>
      </c>
      <c r="CX13" s="18">
        <f t="shared" ca="1" si="91"/>
        <v>25153.805919604962</v>
      </c>
      <c r="CY13" s="18">
        <f t="shared" ca="1" si="92"/>
        <v>24657.8442048586</v>
      </c>
      <c r="CZ13" s="18">
        <f t="shared" ca="1" si="93"/>
        <v>22651.613755076534</v>
      </c>
      <c r="DA13" s="18">
        <f t="shared" ca="1" si="94"/>
        <v>24244.137513601789</v>
      </c>
      <c r="DB13" s="18">
        <f t="shared" ca="1" si="95"/>
        <v>23110.004216731348</v>
      </c>
      <c r="DC13" s="18">
        <f t="shared" ca="1" si="96"/>
        <v>23769.142002794466</v>
      </c>
      <c r="DD13" s="18">
        <f t="shared" ca="1" si="97"/>
        <v>24533.944843111065</v>
      </c>
      <c r="DE13" s="18">
        <f t="shared" ca="1" si="98"/>
        <v>24755.048360182082</v>
      </c>
    </row>
    <row r="14" spans="1:117" x14ac:dyDescent="0.35">
      <c r="A14" s="16">
        <v>44446</v>
      </c>
      <c r="B14" s="17">
        <v>17362.099999999999</v>
      </c>
      <c r="C14" s="10"/>
      <c r="D14" s="19">
        <f t="shared" si="0"/>
        <v>-9.0385988841995806E-4</v>
      </c>
      <c r="E14" s="34"/>
      <c r="F14" s="34"/>
      <c r="G14" s="34"/>
      <c r="H14" s="34"/>
      <c r="I14" s="13" t="s">
        <v>17</v>
      </c>
      <c r="J14" s="18">
        <f t="shared" ca="1" si="100"/>
        <v>24406.2531222773</v>
      </c>
      <c r="K14" s="18">
        <f t="shared" ca="1" si="1"/>
        <v>24487.983482887976</v>
      </c>
      <c r="L14" s="18">
        <f t="shared" ca="1" si="1"/>
        <v>22856.762067214484</v>
      </c>
      <c r="M14" s="18">
        <f t="shared" ca="1" si="2"/>
        <v>25324.710450341139</v>
      </c>
      <c r="N14" s="18">
        <f t="shared" ca="1" si="3"/>
        <v>25078.609216823257</v>
      </c>
      <c r="O14" s="18">
        <f t="shared" ca="1" si="4"/>
        <v>23899.01217122723</v>
      </c>
      <c r="P14" s="18">
        <f t="shared" ca="1" si="5"/>
        <v>23501.572292461889</v>
      </c>
      <c r="Q14" s="18">
        <f t="shared" ca="1" si="6"/>
        <v>24563.536206943591</v>
      </c>
      <c r="R14" s="18">
        <f t="shared" ca="1" si="7"/>
        <v>24313.520041101368</v>
      </c>
      <c r="S14" s="18">
        <f t="shared" ca="1" si="8"/>
        <v>24343.827635270627</v>
      </c>
      <c r="T14" s="18">
        <f t="shared" ca="1" si="9"/>
        <v>23315.392585048809</v>
      </c>
      <c r="U14" s="18">
        <f t="shared" ca="1" si="10"/>
        <v>24448.167987196757</v>
      </c>
      <c r="V14" s="18">
        <f t="shared" ca="1" si="11"/>
        <v>24050.898059344338</v>
      </c>
      <c r="W14" s="18">
        <f t="shared" ca="1" si="12"/>
        <v>23264.042669491497</v>
      </c>
      <c r="X14" s="18">
        <f t="shared" ca="1" si="13"/>
        <v>25705.22459042347</v>
      </c>
      <c r="Y14" s="18">
        <f t="shared" ca="1" si="14"/>
        <v>23256.871821825898</v>
      </c>
      <c r="Z14" s="18">
        <f t="shared" ca="1" si="15"/>
        <v>23510.200916786995</v>
      </c>
      <c r="AA14" s="18">
        <f t="shared" ca="1" si="16"/>
        <v>24042.53233979622</v>
      </c>
      <c r="AB14" s="18">
        <f t="shared" ca="1" si="17"/>
        <v>24771.663945666478</v>
      </c>
      <c r="AC14" s="18">
        <f t="shared" ca="1" si="18"/>
        <v>23551.389606654524</v>
      </c>
      <c r="AD14" s="18">
        <f t="shared" ca="1" si="19"/>
        <v>23643.285368489011</v>
      </c>
      <c r="AE14" s="18">
        <f t="shared" ca="1" si="20"/>
        <v>23948.045739056288</v>
      </c>
      <c r="AF14" s="18">
        <f t="shared" ca="1" si="21"/>
        <v>24211.140698878673</v>
      </c>
      <c r="AG14" s="18">
        <f t="shared" ca="1" si="22"/>
        <v>23600.791591284316</v>
      </c>
      <c r="AH14" s="18">
        <f t="shared" ca="1" si="23"/>
        <v>25973.850516889277</v>
      </c>
      <c r="AI14" s="18">
        <f t="shared" ca="1" si="24"/>
        <v>23851.697385197429</v>
      </c>
      <c r="AJ14" s="18">
        <f t="shared" ca="1" si="25"/>
        <v>23450.750070780075</v>
      </c>
      <c r="AK14" s="18">
        <f t="shared" ca="1" si="26"/>
        <v>24708.678023779667</v>
      </c>
      <c r="AL14" s="18">
        <f t="shared" ca="1" si="27"/>
        <v>24533.768749642859</v>
      </c>
      <c r="AM14" s="18">
        <f t="shared" ca="1" si="28"/>
        <v>24279.68515362102</v>
      </c>
      <c r="AN14" s="18">
        <f t="shared" ca="1" si="29"/>
        <v>24718.961856201662</v>
      </c>
      <c r="AO14" s="18">
        <f t="shared" ca="1" si="30"/>
        <v>24349.482297802042</v>
      </c>
      <c r="AP14" s="18">
        <f t="shared" ca="1" si="31"/>
        <v>23383.990244526307</v>
      </c>
      <c r="AQ14" s="18">
        <f t="shared" ca="1" si="32"/>
        <v>24729.297035658496</v>
      </c>
      <c r="AR14" s="18">
        <f t="shared" ca="1" si="33"/>
        <v>24233.277789988591</v>
      </c>
      <c r="AS14" s="18">
        <f t="shared" ca="1" si="34"/>
        <v>25637.533265016027</v>
      </c>
      <c r="AT14" s="18">
        <f t="shared" ca="1" si="35"/>
        <v>25755.53668758304</v>
      </c>
      <c r="AU14" s="18">
        <f t="shared" ca="1" si="36"/>
        <v>22967.453647814404</v>
      </c>
      <c r="AV14" s="18">
        <f t="shared" ca="1" si="37"/>
        <v>24182.826345422789</v>
      </c>
      <c r="AW14" s="18">
        <f t="shared" ca="1" si="38"/>
        <v>23831.703337278603</v>
      </c>
      <c r="AX14" s="18">
        <f t="shared" ca="1" si="39"/>
        <v>24719.27827401751</v>
      </c>
      <c r="AY14" s="18">
        <f t="shared" ca="1" si="40"/>
        <v>23771.534033670068</v>
      </c>
      <c r="AZ14" s="18">
        <f t="shared" ca="1" si="41"/>
        <v>24447.061680048708</v>
      </c>
      <c r="BA14" s="18">
        <f t="shared" ca="1" si="42"/>
        <v>25625.845813326632</v>
      </c>
      <c r="BB14" s="18">
        <f t="shared" ca="1" si="43"/>
        <v>24461.094246966979</v>
      </c>
      <c r="BC14" s="18">
        <f t="shared" ca="1" si="44"/>
        <v>23574.684331681368</v>
      </c>
      <c r="BD14" s="18">
        <f t="shared" ca="1" si="45"/>
        <v>24848.076538208043</v>
      </c>
      <c r="BE14" s="18">
        <f t="shared" ca="1" si="46"/>
        <v>25171.530506515959</v>
      </c>
      <c r="BF14" s="18">
        <f t="shared" ca="1" si="47"/>
        <v>24126.01410391169</v>
      </c>
      <c r="BG14" s="18">
        <f t="shared" ca="1" si="48"/>
        <v>23844.461268673971</v>
      </c>
      <c r="BH14" s="18">
        <f t="shared" ca="1" si="49"/>
        <v>24628.08187582139</v>
      </c>
      <c r="BI14" s="18">
        <f t="shared" ca="1" si="50"/>
        <v>24494.434240550556</v>
      </c>
      <c r="BJ14" s="18">
        <f t="shared" ca="1" si="51"/>
        <v>23969.151766059178</v>
      </c>
      <c r="BK14" s="18">
        <f t="shared" ca="1" si="52"/>
        <v>24481.171195618565</v>
      </c>
      <c r="BL14" s="18">
        <f t="shared" ca="1" si="53"/>
        <v>23678.812232028522</v>
      </c>
      <c r="BM14" s="18">
        <f t="shared" ca="1" si="54"/>
        <v>22561.022099701433</v>
      </c>
      <c r="BN14" s="18">
        <f t="shared" ca="1" si="55"/>
        <v>23162.341322547833</v>
      </c>
      <c r="BO14" s="18">
        <f t="shared" ca="1" si="56"/>
        <v>24042.05347767262</v>
      </c>
      <c r="BP14" s="18">
        <f t="shared" ca="1" si="57"/>
        <v>23241.1991159393</v>
      </c>
      <c r="BQ14" s="18">
        <f t="shared" ca="1" si="58"/>
        <v>25131.877038170998</v>
      </c>
      <c r="BR14" s="18">
        <f t="shared" ca="1" si="59"/>
        <v>25016.647170002994</v>
      </c>
      <c r="BS14" s="18">
        <f t="shared" ca="1" si="60"/>
        <v>23980.349426436278</v>
      </c>
      <c r="BT14" s="18">
        <f t="shared" ca="1" si="61"/>
        <v>23609.954588260141</v>
      </c>
      <c r="BU14" s="18">
        <f t="shared" ca="1" si="62"/>
        <v>25193.666042958223</v>
      </c>
      <c r="BV14" s="18">
        <f t="shared" ca="1" si="63"/>
        <v>23971.12900111666</v>
      </c>
      <c r="BW14" s="18">
        <f t="shared" ca="1" si="64"/>
        <v>24698.463851572658</v>
      </c>
      <c r="BX14" s="18">
        <f t="shared" ca="1" si="65"/>
        <v>24878.078814061148</v>
      </c>
      <c r="BY14" s="18">
        <f t="shared" ca="1" si="66"/>
        <v>24355.059643766319</v>
      </c>
      <c r="BZ14" s="18">
        <f t="shared" ca="1" si="67"/>
        <v>22613.568685382892</v>
      </c>
      <c r="CA14" s="18">
        <f t="shared" ca="1" si="68"/>
        <v>23893.838387415264</v>
      </c>
      <c r="CB14" s="18">
        <f t="shared" ca="1" si="69"/>
        <v>24912.538687054956</v>
      </c>
      <c r="CC14" s="18">
        <f t="shared" ca="1" si="70"/>
        <v>23720.661857835115</v>
      </c>
      <c r="CD14" s="18">
        <f t="shared" ca="1" si="71"/>
        <v>24928.372860454587</v>
      </c>
      <c r="CE14" s="18">
        <f t="shared" ca="1" si="72"/>
        <v>24379.509660044834</v>
      </c>
      <c r="CF14" s="18">
        <f t="shared" ca="1" si="73"/>
        <v>23518.374641312141</v>
      </c>
      <c r="CG14" s="18">
        <f t="shared" ca="1" si="74"/>
        <v>23770.569238285439</v>
      </c>
      <c r="CH14" s="18">
        <f t="shared" ca="1" si="75"/>
        <v>23701.473184811006</v>
      </c>
      <c r="CI14" s="18">
        <f t="shared" ca="1" si="76"/>
        <v>23142.14466292048</v>
      </c>
      <c r="CJ14" s="18">
        <f t="shared" ca="1" si="77"/>
        <v>24443.119651110381</v>
      </c>
      <c r="CK14" s="18">
        <f t="shared" ca="1" si="78"/>
        <v>23425.282463595839</v>
      </c>
      <c r="CL14" s="18">
        <f t="shared" ca="1" si="79"/>
        <v>24047.149110442668</v>
      </c>
      <c r="CM14" s="18">
        <f t="shared" ca="1" si="80"/>
        <v>23641.623432119603</v>
      </c>
      <c r="CN14" s="18">
        <f t="shared" ca="1" si="81"/>
        <v>25645.476692121447</v>
      </c>
      <c r="CO14" s="18">
        <f t="shared" ca="1" si="82"/>
        <v>24815.950966340457</v>
      </c>
      <c r="CP14" s="18">
        <f t="shared" ca="1" si="83"/>
        <v>24078.96147222766</v>
      </c>
      <c r="CQ14" s="18">
        <f t="shared" ca="1" si="84"/>
        <v>23940.278088659095</v>
      </c>
      <c r="CR14" s="18">
        <f t="shared" ca="1" si="85"/>
        <v>23610.987443038808</v>
      </c>
      <c r="CS14" s="18">
        <f t="shared" ca="1" si="86"/>
        <v>23285.206880760095</v>
      </c>
      <c r="CT14" s="18">
        <f t="shared" ca="1" si="87"/>
        <v>23969.660100369187</v>
      </c>
      <c r="CU14" s="18">
        <f t="shared" ca="1" si="88"/>
        <v>24992.480278206425</v>
      </c>
      <c r="CV14" s="18">
        <f t="shared" ca="1" si="89"/>
        <v>23901.715655055712</v>
      </c>
      <c r="CW14" s="18">
        <f t="shared" ca="1" si="90"/>
        <v>23821.02559111888</v>
      </c>
      <c r="CX14" s="18">
        <f t="shared" ca="1" si="91"/>
        <v>25340.972036313538</v>
      </c>
      <c r="CY14" s="18">
        <f t="shared" ca="1" si="92"/>
        <v>24869.519268782777</v>
      </c>
      <c r="CZ14" s="18">
        <f t="shared" ca="1" si="93"/>
        <v>22612.790908616967</v>
      </c>
      <c r="DA14" s="18">
        <f t="shared" ca="1" si="94"/>
        <v>24279.28297894376</v>
      </c>
      <c r="DB14" s="18">
        <f t="shared" ca="1" si="95"/>
        <v>23392.035666823394</v>
      </c>
      <c r="DC14" s="18">
        <f t="shared" ca="1" si="96"/>
        <v>24215.469366382284</v>
      </c>
      <c r="DD14" s="18">
        <f t="shared" ca="1" si="97"/>
        <v>24353.56282709046</v>
      </c>
      <c r="DE14" s="18">
        <f t="shared" ca="1" si="98"/>
        <v>24752.231283579527</v>
      </c>
    </row>
    <row r="15" spans="1:117" x14ac:dyDescent="0.35">
      <c r="A15" s="16">
        <v>44447</v>
      </c>
      <c r="B15" s="17">
        <v>17353.5</v>
      </c>
      <c r="C15" s="10"/>
      <c r="D15" s="19">
        <f t="shared" si="0"/>
        <v>-4.9545450321603589E-4</v>
      </c>
      <c r="E15" s="34"/>
      <c r="F15" s="34"/>
      <c r="G15" s="34"/>
      <c r="H15" s="34"/>
      <c r="I15" s="13" t="s">
        <v>18</v>
      </c>
      <c r="J15" s="18">
        <f t="shared" ca="1" si="100"/>
        <v>24367.177968661617</v>
      </c>
      <c r="K15" s="18">
        <f t="shared" ca="1" si="1"/>
        <v>24377.470556749398</v>
      </c>
      <c r="L15" s="18">
        <f t="shared" ca="1" si="1"/>
        <v>22671.145522877447</v>
      </c>
      <c r="M15" s="18">
        <f t="shared" ca="1" si="2"/>
        <v>25507.558813095329</v>
      </c>
      <c r="N15" s="18">
        <f t="shared" ca="1" si="3"/>
        <v>24839.717555729796</v>
      </c>
      <c r="O15" s="18">
        <f t="shared" ca="1" si="4"/>
        <v>23944.51826603512</v>
      </c>
      <c r="P15" s="18">
        <f t="shared" ca="1" si="5"/>
        <v>23192.811255235712</v>
      </c>
      <c r="Q15" s="18">
        <f t="shared" ca="1" si="6"/>
        <v>24526.109562482972</v>
      </c>
      <c r="R15" s="18">
        <f t="shared" ca="1" si="7"/>
        <v>24476.258625567425</v>
      </c>
      <c r="S15" s="18">
        <f t="shared" ca="1" si="8"/>
        <v>24450.724801495035</v>
      </c>
      <c r="T15" s="18">
        <f t="shared" ca="1" si="9"/>
        <v>23287.076381014966</v>
      </c>
      <c r="U15" s="18">
        <f t="shared" ca="1" si="10"/>
        <v>24632.422233306272</v>
      </c>
      <c r="V15" s="18">
        <f t="shared" ca="1" si="11"/>
        <v>24636.827058333682</v>
      </c>
      <c r="W15" s="18">
        <f t="shared" ca="1" si="12"/>
        <v>23078.954792172677</v>
      </c>
      <c r="X15" s="18">
        <f t="shared" ca="1" si="13"/>
        <v>25428.514962285295</v>
      </c>
      <c r="Y15" s="18">
        <f t="shared" ca="1" si="14"/>
        <v>23281.947602091725</v>
      </c>
      <c r="Z15" s="18">
        <f t="shared" ca="1" si="15"/>
        <v>23373.281117090679</v>
      </c>
      <c r="AA15" s="18">
        <f t="shared" ca="1" si="16"/>
        <v>23985.351551091491</v>
      </c>
      <c r="AB15" s="18">
        <f t="shared" ca="1" si="17"/>
        <v>24627.776888900935</v>
      </c>
      <c r="AC15" s="18">
        <f t="shared" ca="1" si="18"/>
        <v>23987.688059949942</v>
      </c>
      <c r="AD15" s="18">
        <f t="shared" ca="1" si="19"/>
        <v>23806.956797631578</v>
      </c>
      <c r="AE15" s="18">
        <f t="shared" ca="1" si="20"/>
        <v>24248.072280818236</v>
      </c>
      <c r="AF15" s="18">
        <f t="shared" ca="1" si="21"/>
        <v>24232.503942726591</v>
      </c>
      <c r="AG15" s="18">
        <f t="shared" ca="1" si="22"/>
        <v>23763.973247815877</v>
      </c>
      <c r="AH15" s="18">
        <f t="shared" ca="1" si="23"/>
        <v>25833.955843536518</v>
      </c>
      <c r="AI15" s="18">
        <f t="shared" ca="1" si="24"/>
        <v>23754.750100228903</v>
      </c>
      <c r="AJ15" s="18">
        <f t="shared" ca="1" si="25"/>
        <v>23267.15068912163</v>
      </c>
      <c r="AK15" s="18">
        <f t="shared" ca="1" si="26"/>
        <v>24380.298290600476</v>
      </c>
      <c r="AL15" s="18">
        <f t="shared" ca="1" si="27"/>
        <v>24109.88448702998</v>
      </c>
      <c r="AM15" s="18">
        <f t="shared" ca="1" si="28"/>
        <v>24032.404868313904</v>
      </c>
      <c r="AN15" s="18">
        <f t="shared" ca="1" si="29"/>
        <v>24471.26985737374</v>
      </c>
      <c r="AO15" s="18">
        <f t="shared" ca="1" si="30"/>
        <v>24669.694179672548</v>
      </c>
      <c r="AP15" s="18">
        <f t="shared" ca="1" si="31"/>
        <v>23449.491564488981</v>
      </c>
      <c r="AQ15" s="18">
        <f t="shared" ca="1" si="32"/>
        <v>24797.135519021263</v>
      </c>
      <c r="AR15" s="18">
        <f t="shared" ca="1" si="33"/>
        <v>24168.537880253578</v>
      </c>
      <c r="AS15" s="18">
        <f t="shared" ca="1" si="34"/>
        <v>25766.19376973412</v>
      </c>
      <c r="AT15" s="18">
        <f t="shared" ca="1" si="35"/>
        <v>25784.4874434708</v>
      </c>
      <c r="AU15" s="18">
        <f t="shared" ca="1" si="36"/>
        <v>22783.522621857497</v>
      </c>
      <c r="AV15" s="18">
        <f t="shared" ca="1" si="37"/>
        <v>23990.293284466308</v>
      </c>
      <c r="AW15" s="18">
        <f t="shared" ca="1" si="38"/>
        <v>23790.710498945238</v>
      </c>
      <c r="AX15" s="18">
        <f t="shared" ca="1" si="39"/>
        <v>24723.649521676325</v>
      </c>
      <c r="AY15" s="18">
        <f t="shared" ca="1" si="40"/>
        <v>23830.795046370014</v>
      </c>
      <c r="AZ15" s="18">
        <f t="shared" ca="1" si="41"/>
        <v>24481.421146099718</v>
      </c>
      <c r="BA15" s="18">
        <f t="shared" ca="1" si="42"/>
        <v>25691.058517449255</v>
      </c>
      <c r="BB15" s="18">
        <f t="shared" ca="1" si="43"/>
        <v>24512.851356926032</v>
      </c>
      <c r="BC15" s="18">
        <f t="shared" ca="1" si="44"/>
        <v>23528.96161844999</v>
      </c>
      <c r="BD15" s="18">
        <f t="shared" ca="1" si="45"/>
        <v>24813.433074581626</v>
      </c>
      <c r="BE15" s="18">
        <f t="shared" ca="1" si="46"/>
        <v>25248.282089209268</v>
      </c>
      <c r="BF15" s="18">
        <f t="shared" ca="1" si="47"/>
        <v>24072.205009753143</v>
      </c>
      <c r="BG15" s="18">
        <f t="shared" ca="1" si="48"/>
        <v>24175.787484344437</v>
      </c>
      <c r="BH15" s="18">
        <f t="shared" ca="1" si="49"/>
        <v>24436.413363147956</v>
      </c>
      <c r="BI15" s="18">
        <f t="shared" ca="1" si="50"/>
        <v>24113.251432490022</v>
      </c>
      <c r="BJ15" s="18">
        <f t="shared" ca="1" si="51"/>
        <v>24100.34584015462</v>
      </c>
      <c r="BK15" s="18">
        <f t="shared" ca="1" si="52"/>
        <v>24603.508885466868</v>
      </c>
      <c r="BL15" s="18">
        <f t="shared" ca="1" si="53"/>
        <v>24004.001529514811</v>
      </c>
      <c r="BM15" s="18">
        <f t="shared" ca="1" si="54"/>
        <v>22558.899835237098</v>
      </c>
      <c r="BN15" s="18">
        <f t="shared" ca="1" si="55"/>
        <v>23176.582693450073</v>
      </c>
      <c r="BO15" s="18">
        <f t="shared" ca="1" si="56"/>
        <v>23713.478607113146</v>
      </c>
      <c r="BP15" s="18">
        <f t="shared" ca="1" si="57"/>
        <v>23162.355648536293</v>
      </c>
      <c r="BQ15" s="18">
        <f t="shared" ca="1" si="58"/>
        <v>25269.989171221401</v>
      </c>
      <c r="BR15" s="18">
        <f t="shared" ca="1" si="59"/>
        <v>25186.066385635258</v>
      </c>
      <c r="BS15" s="18">
        <f t="shared" ca="1" si="60"/>
        <v>23863.831853628846</v>
      </c>
      <c r="BT15" s="18">
        <f t="shared" ca="1" si="61"/>
        <v>23289.204139695001</v>
      </c>
      <c r="BU15" s="18">
        <f t="shared" ca="1" si="62"/>
        <v>25205.485846174441</v>
      </c>
      <c r="BV15" s="18">
        <f t="shared" ca="1" si="63"/>
        <v>24063.107456724832</v>
      </c>
      <c r="BW15" s="18">
        <f t="shared" ca="1" si="64"/>
        <v>24742.850807401763</v>
      </c>
      <c r="BX15" s="18">
        <f t="shared" ca="1" si="65"/>
        <v>24905.145320175572</v>
      </c>
      <c r="BY15" s="18">
        <f t="shared" ca="1" si="66"/>
        <v>24279.577580014233</v>
      </c>
      <c r="BZ15" s="18">
        <f t="shared" ca="1" si="67"/>
        <v>22636.553223818573</v>
      </c>
      <c r="CA15" s="18">
        <f t="shared" ca="1" si="68"/>
        <v>24293.849148029287</v>
      </c>
      <c r="CB15" s="18">
        <f t="shared" ca="1" si="69"/>
        <v>24806.960033570151</v>
      </c>
      <c r="CC15" s="18">
        <f t="shared" ca="1" si="70"/>
        <v>23692.076846777407</v>
      </c>
      <c r="CD15" s="18">
        <f t="shared" ca="1" si="71"/>
        <v>24610.514282826014</v>
      </c>
      <c r="CE15" s="18">
        <f t="shared" ca="1" si="72"/>
        <v>24411.04003685715</v>
      </c>
      <c r="CF15" s="18">
        <f t="shared" ca="1" si="73"/>
        <v>23847.621721670032</v>
      </c>
      <c r="CG15" s="18">
        <f t="shared" ca="1" si="74"/>
        <v>23714.728972988069</v>
      </c>
      <c r="CH15" s="18">
        <f t="shared" ca="1" si="75"/>
        <v>23766.485035171063</v>
      </c>
      <c r="CI15" s="18">
        <f t="shared" ca="1" si="76"/>
        <v>23410.479211488229</v>
      </c>
      <c r="CJ15" s="18">
        <f t="shared" ca="1" si="77"/>
        <v>24650.014093854665</v>
      </c>
      <c r="CK15" s="18">
        <f t="shared" ca="1" si="78"/>
        <v>23237.782047276545</v>
      </c>
      <c r="CL15" s="18">
        <f t="shared" ca="1" si="79"/>
        <v>24038.830914764003</v>
      </c>
      <c r="CM15" s="18">
        <f t="shared" ca="1" si="80"/>
        <v>23463.610020831544</v>
      </c>
      <c r="CN15" s="18">
        <f t="shared" ca="1" si="81"/>
        <v>25406.29317537036</v>
      </c>
      <c r="CO15" s="18">
        <f t="shared" ca="1" si="82"/>
        <v>24911.095879752775</v>
      </c>
      <c r="CP15" s="18">
        <f t="shared" ca="1" si="83"/>
        <v>24060.864933284716</v>
      </c>
      <c r="CQ15" s="18">
        <f t="shared" ca="1" si="84"/>
        <v>23942.088866352926</v>
      </c>
      <c r="CR15" s="18">
        <f t="shared" ca="1" si="85"/>
        <v>23780.019126032843</v>
      </c>
      <c r="CS15" s="18">
        <f t="shared" ca="1" si="86"/>
        <v>23130.080196932726</v>
      </c>
      <c r="CT15" s="18">
        <f t="shared" ca="1" si="87"/>
        <v>23947.0213330898</v>
      </c>
      <c r="CU15" s="18">
        <f t="shared" ca="1" si="88"/>
        <v>24777.706934899532</v>
      </c>
      <c r="CV15" s="18">
        <f t="shared" ca="1" si="89"/>
        <v>23852.637461119612</v>
      </c>
      <c r="CW15" s="18">
        <f t="shared" ca="1" si="90"/>
        <v>23641.540425726351</v>
      </c>
      <c r="CX15" s="18">
        <f t="shared" ca="1" si="91"/>
        <v>25459.845106216686</v>
      </c>
      <c r="CY15" s="18">
        <f t="shared" ca="1" si="92"/>
        <v>24792.382508773608</v>
      </c>
      <c r="CZ15" s="18">
        <f t="shared" ca="1" si="93"/>
        <v>22586.15555864813</v>
      </c>
      <c r="DA15" s="18">
        <f t="shared" ca="1" si="94"/>
        <v>24297.411257531563</v>
      </c>
      <c r="DB15" s="18">
        <f t="shared" ca="1" si="95"/>
        <v>23483.024240811887</v>
      </c>
      <c r="DC15" s="18">
        <f t="shared" ca="1" si="96"/>
        <v>24503.034839972945</v>
      </c>
      <c r="DD15" s="18">
        <f t="shared" ca="1" si="97"/>
        <v>24268.650626367598</v>
      </c>
      <c r="DE15" s="18">
        <f t="shared" ca="1" si="98"/>
        <v>25245.657736622332</v>
      </c>
    </row>
    <row r="16" spans="1:117" x14ac:dyDescent="0.35">
      <c r="A16" s="16">
        <v>44448</v>
      </c>
      <c r="B16" s="17">
        <v>17369.25</v>
      </c>
      <c r="C16" s="10"/>
      <c r="D16" s="19">
        <f t="shared" si="0"/>
        <v>9.0718627298651939E-4</v>
      </c>
      <c r="I16" s="13" t="s">
        <v>19</v>
      </c>
      <c r="J16" s="18">
        <f t="shared" ca="1" si="100"/>
        <v>24256.456438122073</v>
      </c>
      <c r="K16" s="18">
        <f t="shared" ca="1" si="1"/>
        <v>23945.860062871878</v>
      </c>
      <c r="L16" s="18">
        <f t="shared" ca="1" si="1"/>
        <v>23105.726795858471</v>
      </c>
      <c r="M16" s="18">
        <f t="shared" ca="1" si="2"/>
        <v>25292.684009442841</v>
      </c>
      <c r="N16" s="18">
        <f t="shared" ca="1" si="3"/>
        <v>24715.09670595243</v>
      </c>
      <c r="O16" s="18">
        <f t="shared" ca="1" si="4"/>
        <v>23840.966178494305</v>
      </c>
      <c r="P16" s="18">
        <f t="shared" ca="1" si="5"/>
        <v>23156.901647170573</v>
      </c>
      <c r="Q16" s="18">
        <f t="shared" ca="1" si="6"/>
        <v>24430.80749753648</v>
      </c>
      <c r="R16" s="18">
        <f t="shared" ca="1" si="7"/>
        <v>24480.295971190939</v>
      </c>
      <c r="S16" s="18">
        <f t="shared" ca="1" si="8"/>
        <v>24669.003725684266</v>
      </c>
      <c r="T16" s="18">
        <f t="shared" ca="1" si="9"/>
        <v>23172.928142377732</v>
      </c>
      <c r="U16" s="18">
        <f t="shared" ca="1" si="10"/>
        <v>24505.815187352131</v>
      </c>
      <c r="V16" s="18">
        <f t="shared" ca="1" si="11"/>
        <v>24632.647540290356</v>
      </c>
      <c r="W16" s="18">
        <f t="shared" ca="1" si="12"/>
        <v>22895.870562658321</v>
      </c>
      <c r="X16" s="18">
        <f t="shared" ca="1" si="13"/>
        <v>25263.182820322538</v>
      </c>
      <c r="Y16" s="18">
        <f t="shared" ca="1" si="14"/>
        <v>23183.99463111259</v>
      </c>
      <c r="Z16" s="18">
        <f t="shared" ca="1" si="15"/>
        <v>23326.598875959076</v>
      </c>
      <c r="AA16" s="18">
        <f t="shared" ca="1" si="16"/>
        <v>23612.55139892668</v>
      </c>
      <c r="AB16" s="18">
        <f t="shared" ca="1" si="17"/>
        <v>24613.437290050639</v>
      </c>
      <c r="AC16" s="18">
        <f t="shared" ca="1" si="18"/>
        <v>23914.706813297678</v>
      </c>
      <c r="AD16" s="18">
        <f t="shared" ca="1" si="19"/>
        <v>24029.044688428032</v>
      </c>
      <c r="AE16" s="18">
        <f t="shared" ca="1" si="20"/>
        <v>24145.503896383914</v>
      </c>
      <c r="AF16" s="18">
        <f t="shared" ca="1" si="21"/>
        <v>24266.737140861609</v>
      </c>
      <c r="AG16" s="18">
        <f t="shared" ca="1" si="22"/>
        <v>23980.247465019274</v>
      </c>
      <c r="AH16" s="18">
        <f t="shared" ca="1" si="23"/>
        <v>25808.81035833418</v>
      </c>
      <c r="AI16" s="18">
        <f t="shared" ca="1" si="24"/>
        <v>24084.140982006025</v>
      </c>
      <c r="AJ16" s="18">
        <f t="shared" ca="1" si="25"/>
        <v>22956.111293694397</v>
      </c>
      <c r="AK16" s="18">
        <f t="shared" ca="1" si="26"/>
        <v>23821.550712089094</v>
      </c>
      <c r="AL16" s="18">
        <f t="shared" ca="1" si="27"/>
        <v>24017.737659436083</v>
      </c>
      <c r="AM16" s="18">
        <f t="shared" ca="1" si="28"/>
        <v>24032.806831851321</v>
      </c>
      <c r="AN16" s="18">
        <f t="shared" ca="1" si="29"/>
        <v>24291.140725762529</v>
      </c>
      <c r="AO16" s="18">
        <f t="shared" ca="1" si="30"/>
        <v>24658.041021236197</v>
      </c>
      <c r="AP16" s="18">
        <f t="shared" ca="1" si="31"/>
        <v>23516.773937238802</v>
      </c>
      <c r="AQ16" s="18">
        <f t="shared" ca="1" si="32"/>
        <v>25122.494954029586</v>
      </c>
      <c r="AR16" s="18">
        <f t="shared" ca="1" si="33"/>
        <v>24176.51045795601</v>
      </c>
      <c r="AS16" s="18">
        <f t="shared" ca="1" si="34"/>
        <v>25375.575708419419</v>
      </c>
      <c r="AT16" s="18">
        <f t="shared" ca="1" si="35"/>
        <v>25896.367484217641</v>
      </c>
      <c r="AU16" s="18">
        <f t="shared" ca="1" si="36"/>
        <v>22570.160584948371</v>
      </c>
      <c r="AV16" s="18">
        <f t="shared" ca="1" si="37"/>
        <v>23956.169337507905</v>
      </c>
      <c r="AW16" s="18">
        <f t="shared" ca="1" si="38"/>
        <v>23691.22861838085</v>
      </c>
      <c r="AX16" s="18">
        <f t="shared" ca="1" si="39"/>
        <v>24865.977367932734</v>
      </c>
      <c r="AY16" s="18">
        <f t="shared" ca="1" si="40"/>
        <v>23839.722852980864</v>
      </c>
      <c r="AZ16" s="18">
        <f t="shared" ca="1" si="41"/>
        <v>24528.664529899601</v>
      </c>
      <c r="BA16" s="18">
        <f t="shared" ca="1" si="42"/>
        <v>25852.508688881633</v>
      </c>
      <c r="BB16" s="18">
        <f t="shared" ca="1" si="43"/>
        <v>24579.891619316575</v>
      </c>
      <c r="BC16" s="18">
        <f t="shared" ca="1" si="44"/>
        <v>23438.893990247776</v>
      </c>
      <c r="BD16" s="18">
        <f t="shared" ca="1" si="45"/>
        <v>25294.696253037302</v>
      </c>
      <c r="BE16" s="18">
        <f t="shared" ca="1" si="46"/>
        <v>25391.822956772965</v>
      </c>
      <c r="BF16" s="18">
        <f t="shared" ca="1" si="47"/>
        <v>23767.684023241967</v>
      </c>
      <c r="BG16" s="18">
        <f t="shared" ca="1" si="48"/>
        <v>23983.606639137965</v>
      </c>
      <c r="BH16" s="18">
        <f t="shared" ca="1" si="49"/>
        <v>24257.605767820798</v>
      </c>
      <c r="BI16" s="18">
        <f t="shared" ca="1" si="50"/>
        <v>23693.955889434194</v>
      </c>
      <c r="BJ16" s="18">
        <f t="shared" ca="1" si="51"/>
        <v>24268.173667697625</v>
      </c>
      <c r="BK16" s="18">
        <f t="shared" ca="1" si="52"/>
        <v>24436.911296109061</v>
      </c>
      <c r="BL16" s="18">
        <f t="shared" ca="1" si="53"/>
        <v>24076.495308109283</v>
      </c>
      <c r="BM16" s="18">
        <f t="shared" ca="1" si="54"/>
        <v>22609.458537620161</v>
      </c>
      <c r="BN16" s="18">
        <f t="shared" ca="1" si="55"/>
        <v>23413.38074390715</v>
      </c>
      <c r="BO16" s="18">
        <f t="shared" ca="1" si="56"/>
        <v>23466.146445824674</v>
      </c>
      <c r="BP16" s="18">
        <f t="shared" ca="1" si="57"/>
        <v>23181.514949997156</v>
      </c>
      <c r="BQ16" s="18">
        <f t="shared" ca="1" si="58"/>
        <v>24565.065520687509</v>
      </c>
      <c r="BR16" s="18">
        <f t="shared" ca="1" si="59"/>
        <v>24986.711064042131</v>
      </c>
      <c r="BS16" s="18">
        <f t="shared" ca="1" si="60"/>
        <v>23573.974782683959</v>
      </c>
      <c r="BT16" s="18">
        <f t="shared" ca="1" si="61"/>
        <v>23022.898828419526</v>
      </c>
      <c r="BU16" s="18">
        <f t="shared" ca="1" si="62"/>
        <v>25082.856672569236</v>
      </c>
      <c r="BV16" s="18">
        <f t="shared" ca="1" si="63"/>
        <v>23664.867691684743</v>
      </c>
      <c r="BW16" s="18">
        <f t="shared" ca="1" si="64"/>
        <v>25119.224187088694</v>
      </c>
      <c r="BX16" s="18">
        <f t="shared" ca="1" si="65"/>
        <v>25311.323183956174</v>
      </c>
      <c r="BY16" s="18">
        <f t="shared" ca="1" si="66"/>
        <v>24327.110808835143</v>
      </c>
      <c r="BZ16" s="18">
        <f t="shared" ca="1" si="67"/>
        <v>22765.64019497102</v>
      </c>
      <c r="CA16" s="18">
        <f t="shared" ca="1" si="68"/>
        <v>24457.28675508732</v>
      </c>
      <c r="CB16" s="18">
        <f t="shared" ca="1" si="69"/>
        <v>25034.546154013082</v>
      </c>
      <c r="CC16" s="18">
        <f t="shared" ca="1" si="70"/>
        <v>23690.913912621883</v>
      </c>
      <c r="CD16" s="18">
        <f t="shared" ca="1" si="71"/>
        <v>24626.265955087583</v>
      </c>
      <c r="CE16" s="18">
        <f t="shared" ca="1" si="72"/>
        <v>24383.776645239126</v>
      </c>
      <c r="CF16" s="18">
        <f t="shared" ca="1" si="73"/>
        <v>24031.418430704962</v>
      </c>
      <c r="CG16" s="18">
        <f t="shared" ca="1" si="74"/>
        <v>23747.850007058314</v>
      </c>
      <c r="CH16" s="18">
        <f t="shared" ca="1" si="75"/>
        <v>23811.948636521334</v>
      </c>
      <c r="CI16" s="18">
        <f t="shared" ca="1" si="76"/>
        <v>23365.960951451645</v>
      </c>
      <c r="CJ16" s="18">
        <f t="shared" ca="1" si="77"/>
        <v>24583.081015654814</v>
      </c>
      <c r="CK16" s="18">
        <f t="shared" ca="1" si="78"/>
        <v>23372.676928828478</v>
      </c>
      <c r="CL16" s="18">
        <f t="shared" ca="1" si="79"/>
        <v>24107.580687728157</v>
      </c>
      <c r="CM16" s="18">
        <f t="shared" ca="1" si="80"/>
        <v>23471.468311952372</v>
      </c>
      <c r="CN16" s="18">
        <f t="shared" ca="1" si="81"/>
        <v>25561.147447427946</v>
      </c>
      <c r="CO16" s="18">
        <f t="shared" ca="1" si="82"/>
        <v>24765.597053235429</v>
      </c>
      <c r="CP16" s="18">
        <f t="shared" ca="1" si="83"/>
        <v>24219.713019668186</v>
      </c>
      <c r="CQ16" s="18">
        <f t="shared" ca="1" si="84"/>
        <v>23907.674815751627</v>
      </c>
      <c r="CR16" s="18">
        <f t="shared" ca="1" si="85"/>
        <v>23718.384731650622</v>
      </c>
      <c r="CS16" s="18">
        <f t="shared" ca="1" si="86"/>
        <v>23121.068862705044</v>
      </c>
      <c r="CT16" s="18">
        <f t="shared" ca="1" si="87"/>
        <v>23861.179712550074</v>
      </c>
      <c r="CU16" s="18">
        <f t="shared" ca="1" si="88"/>
        <v>24965.185593760762</v>
      </c>
      <c r="CV16" s="18">
        <f t="shared" ca="1" si="89"/>
        <v>24166.209066261927</v>
      </c>
      <c r="CW16" s="18">
        <f t="shared" ca="1" si="90"/>
        <v>24090.988289198463</v>
      </c>
      <c r="CX16" s="18">
        <f t="shared" ca="1" si="91"/>
        <v>25715.840262573205</v>
      </c>
      <c r="CY16" s="18">
        <f t="shared" ca="1" si="92"/>
        <v>25060.736740056946</v>
      </c>
      <c r="CZ16" s="18">
        <f t="shared" ca="1" si="93"/>
        <v>22280.284158511189</v>
      </c>
      <c r="DA16" s="18">
        <f t="shared" ca="1" si="94"/>
        <v>24215.206118729137</v>
      </c>
      <c r="DB16" s="18">
        <f t="shared" ca="1" si="95"/>
        <v>23148.898877183896</v>
      </c>
      <c r="DC16" s="18">
        <f t="shared" ca="1" si="96"/>
        <v>24272.518011370183</v>
      </c>
      <c r="DD16" s="18">
        <f t="shared" ca="1" si="97"/>
        <v>24010.765017716589</v>
      </c>
      <c r="DE16" s="18">
        <f t="shared" ca="1" si="98"/>
        <v>25479.520538377568</v>
      </c>
    </row>
    <row r="17" spans="1:120" x14ac:dyDescent="0.35">
      <c r="A17" s="16">
        <v>44452</v>
      </c>
      <c r="B17" s="17">
        <v>17355.3</v>
      </c>
      <c r="C17" s="10"/>
      <c r="D17" s="19">
        <f t="shared" si="0"/>
        <v>-8.0346617885402119E-4</v>
      </c>
      <c r="I17" s="13" t="s">
        <v>20</v>
      </c>
      <c r="J17" s="18">
        <f t="shared" ca="1" si="100"/>
        <v>24364.820838895659</v>
      </c>
      <c r="K17" s="18">
        <f t="shared" ca="1" si="1"/>
        <v>23926.690376240902</v>
      </c>
      <c r="L17" s="18">
        <f t="shared" ca="1" si="1"/>
        <v>22997.209960059005</v>
      </c>
      <c r="M17" s="18">
        <f t="shared" ca="1" si="2"/>
        <v>25203.862294937269</v>
      </c>
      <c r="N17" s="18">
        <f t="shared" ca="1" si="3"/>
        <v>24697.648065047691</v>
      </c>
      <c r="O17" s="18">
        <f t="shared" ca="1" si="4"/>
        <v>24131.035193916243</v>
      </c>
      <c r="P17" s="18">
        <f t="shared" ca="1" si="5"/>
        <v>23254.562244591503</v>
      </c>
      <c r="Q17" s="18">
        <f t="shared" ca="1" si="6"/>
        <v>24430.960805379062</v>
      </c>
      <c r="R17" s="18">
        <f t="shared" ca="1" si="7"/>
        <v>24811.927336298239</v>
      </c>
      <c r="S17" s="18">
        <f t="shared" ca="1" si="8"/>
        <v>24623.919449458208</v>
      </c>
      <c r="T17" s="18">
        <f t="shared" ca="1" si="9"/>
        <v>23000.796152335457</v>
      </c>
      <c r="U17" s="18">
        <f t="shared" ca="1" si="10"/>
        <v>24252.646222899239</v>
      </c>
      <c r="V17" s="18">
        <f t="shared" ca="1" si="11"/>
        <v>24333.607275950249</v>
      </c>
      <c r="W17" s="18">
        <f t="shared" ca="1" si="12"/>
        <v>23012.92104897396</v>
      </c>
      <c r="X17" s="18">
        <f t="shared" ca="1" si="13"/>
        <v>25269.688199597138</v>
      </c>
      <c r="Y17" s="18">
        <f t="shared" ca="1" si="14"/>
        <v>23282.037831673937</v>
      </c>
      <c r="Z17" s="18">
        <f t="shared" ca="1" si="15"/>
        <v>23971.960310730145</v>
      </c>
      <c r="AA17" s="18">
        <f t="shared" ca="1" si="16"/>
        <v>23312.109796471188</v>
      </c>
      <c r="AB17" s="18">
        <f t="shared" ca="1" si="17"/>
        <v>24591.713898540715</v>
      </c>
      <c r="AC17" s="18">
        <f t="shared" ca="1" si="18"/>
        <v>23977.694546060666</v>
      </c>
      <c r="AD17" s="18">
        <f t="shared" ca="1" si="19"/>
        <v>24504.200109767804</v>
      </c>
      <c r="AE17" s="18">
        <f t="shared" ca="1" si="20"/>
        <v>24113.751759689658</v>
      </c>
      <c r="AF17" s="18">
        <f t="shared" ca="1" si="21"/>
        <v>24328.846979872029</v>
      </c>
      <c r="AG17" s="18">
        <f t="shared" ca="1" si="22"/>
        <v>24359.055092778093</v>
      </c>
      <c r="AH17" s="18">
        <f t="shared" ca="1" si="23"/>
        <v>26290.815975165748</v>
      </c>
      <c r="AI17" s="18">
        <f t="shared" ca="1" si="24"/>
        <v>24430.429742087079</v>
      </c>
      <c r="AJ17" s="18">
        <f t="shared" ca="1" si="25"/>
        <v>22637.866942253047</v>
      </c>
      <c r="AK17" s="18">
        <f t="shared" ca="1" si="26"/>
        <v>23780.689994437598</v>
      </c>
      <c r="AL17" s="18">
        <f t="shared" ca="1" si="27"/>
        <v>23803.006535497021</v>
      </c>
      <c r="AM17" s="18">
        <f t="shared" ca="1" si="28"/>
        <v>24179.939273144206</v>
      </c>
      <c r="AN17" s="18">
        <f t="shared" ca="1" si="29"/>
        <v>24004.067891469069</v>
      </c>
      <c r="AO17" s="18">
        <f t="shared" ca="1" si="30"/>
        <v>24746.618891662722</v>
      </c>
      <c r="AP17" s="18">
        <f t="shared" ca="1" si="31"/>
        <v>23775.670408606988</v>
      </c>
      <c r="AQ17" s="18">
        <f t="shared" ca="1" si="32"/>
        <v>25281.137991183896</v>
      </c>
      <c r="AR17" s="18">
        <f t="shared" ca="1" si="33"/>
        <v>24557.401709495836</v>
      </c>
      <c r="AS17" s="18">
        <f t="shared" ca="1" si="34"/>
        <v>25625.748279037944</v>
      </c>
      <c r="AT17" s="18">
        <f t="shared" ca="1" si="35"/>
        <v>25693.702348287738</v>
      </c>
      <c r="AU17" s="18">
        <f t="shared" ca="1" si="36"/>
        <v>22422.72765524546</v>
      </c>
      <c r="AV17" s="18">
        <f t="shared" ca="1" si="37"/>
        <v>23984.202058894327</v>
      </c>
      <c r="AW17" s="18">
        <f t="shared" ca="1" si="38"/>
        <v>23845.076436590232</v>
      </c>
      <c r="AX17" s="18">
        <f t="shared" ca="1" si="39"/>
        <v>24780.597384436904</v>
      </c>
      <c r="AY17" s="18">
        <f t="shared" ca="1" si="40"/>
        <v>24103.971598165728</v>
      </c>
      <c r="AZ17" s="18">
        <f t="shared" ca="1" si="41"/>
        <v>24354.183382573119</v>
      </c>
      <c r="BA17" s="18">
        <f t="shared" ca="1" si="42"/>
        <v>26359.109495224369</v>
      </c>
      <c r="BB17" s="18">
        <f t="shared" ca="1" si="43"/>
        <v>24883.376066457495</v>
      </c>
      <c r="BC17" s="18">
        <f t="shared" ca="1" si="44"/>
        <v>23651.557536277996</v>
      </c>
      <c r="BD17" s="18">
        <f t="shared" ca="1" si="45"/>
        <v>24973.25562012941</v>
      </c>
      <c r="BE17" s="18">
        <f t="shared" ca="1" si="46"/>
        <v>25540.608275872477</v>
      </c>
      <c r="BF17" s="18">
        <f t="shared" ca="1" si="47"/>
        <v>24054.93982751053</v>
      </c>
      <c r="BG17" s="18">
        <f t="shared" ca="1" si="48"/>
        <v>23728.245773536823</v>
      </c>
      <c r="BH17" s="18">
        <f t="shared" ca="1" si="49"/>
        <v>24264.585723719589</v>
      </c>
      <c r="BI17" s="18">
        <f t="shared" ca="1" si="50"/>
        <v>23626.642373930674</v>
      </c>
      <c r="BJ17" s="18">
        <f t="shared" ca="1" si="51"/>
        <v>24027.568873889417</v>
      </c>
      <c r="BK17" s="18">
        <f t="shared" ca="1" si="52"/>
        <v>24614.473927505696</v>
      </c>
      <c r="BL17" s="18">
        <f t="shared" ca="1" si="53"/>
        <v>23926.880964883821</v>
      </c>
      <c r="BM17" s="18">
        <f t="shared" ca="1" si="54"/>
        <v>22601.149914286572</v>
      </c>
      <c r="BN17" s="18">
        <f t="shared" ca="1" si="55"/>
        <v>23556.63469438651</v>
      </c>
      <c r="BO17" s="18">
        <f t="shared" ca="1" si="56"/>
        <v>23181.768157901552</v>
      </c>
      <c r="BP17" s="18">
        <f t="shared" ca="1" si="57"/>
        <v>23076.541217706777</v>
      </c>
      <c r="BQ17" s="18">
        <f t="shared" ca="1" si="58"/>
        <v>24793.072810297494</v>
      </c>
      <c r="BR17" s="18">
        <f t="shared" ca="1" si="59"/>
        <v>25063.284480202012</v>
      </c>
      <c r="BS17" s="18">
        <f t="shared" ca="1" si="60"/>
        <v>23386.92394311725</v>
      </c>
      <c r="BT17" s="18">
        <f t="shared" ca="1" si="61"/>
        <v>22996.329460179051</v>
      </c>
      <c r="BU17" s="18">
        <f t="shared" ca="1" si="62"/>
        <v>25076.655350115394</v>
      </c>
      <c r="BV17" s="18">
        <f t="shared" ca="1" si="63"/>
        <v>23939.284768737485</v>
      </c>
      <c r="BW17" s="18">
        <f t="shared" ca="1" si="64"/>
        <v>24901.932734388989</v>
      </c>
      <c r="BX17" s="18">
        <f t="shared" ca="1" si="65"/>
        <v>25024.422069396594</v>
      </c>
      <c r="BY17" s="18">
        <f t="shared" ca="1" si="66"/>
        <v>24289.810323739242</v>
      </c>
      <c r="BZ17" s="18">
        <f t="shared" ca="1" si="67"/>
        <v>22707.571478769212</v>
      </c>
      <c r="CA17" s="18">
        <f t="shared" ca="1" si="68"/>
        <v>24602.604293617613</v>
      </c>
      <c r="CB17" s="18">
        <f t="shared" ca="1" si="69"/>
        <v>24947.125292614433</v>
      </c>
      <c r="CC17" s="18">
        <f t="shared" ca="1" si="70"/>
        <v>23670.92311040256</v>
      </c>
      <c r="CD17" s="18">
        <f t="shared" ca="1" si="71"/>
        <v>24642.529235957525</v>
      </c>
      <c r="CE17" s="18">
        <f t="shared" ca="1" si="72"/>
        <v>24713.070332059193</v>
      </c>
      <c r="CF17" s="18">
        <f t="shared" ca="1" si="73"/>
        <v>24280.312713009007</v>
      </c>
      <c r="CG17" s="18">
        <f t="shared" ca="1" si="74"/>
        <v>23627.112351213913</v>
      </c>
      <c r="CH17" s="18">
        <f t="shared" ca="1" si="75"/>
        <v>24111.162896252223</v>
      </c>
      <c r="CI17" s="18">
        <f t="shared" ca="1" si="76"/>
        <v>23240.039476431819</v>
      </c>
      <c r="CJ17" s="18">
        <f t="shared" ca="1" si="77"/>
        <v>24432.019005976079</v>
      </c>
      <c r="CK17" s="18">
        <f t="shared" ca="1" si="78"/>
        <v>23347.513437243422</v>
      </c>
      <c r="CL17" s="18">
        <f t="shared" ca="1" si="79"/>
        <v>24063.284680630426</v>
      </c>
      <c r="CM17" s="18">
        <f t="shared" ca="1" si="80"/>
        <v>23625.51677493508</v>
      </c>
      <c r="CN17" s="18">
        <f t="shared" ca="1" si="81"/>
        <v>25771.271037685332</v>
      </c>
      <c r="CO17" s="18">
        <f t="shared" ca="1" si="82"/>
        <v>24565.211187960456</v>
      </c>
      <c r="CP17" s="18">
        <f t="shared" ca="1" si="83"/>
        <v>24110.567534302918</v>
      </c>
      <c r="CQ17" s="18">
        <f t="shared" ca="1" si="84"/>
        <v>24139.146646357709</v>
      </c>
      <c r="CR17" s="18">
        <f t="shared" ca="1" si="85"/>
        <v>23874.132133567589</v>
      </c>
      <c r="CS17" s="18">
        <f t="shared" ca="1" si="86"/>
        <v>23197.535222974486</v>
      </c>
      <c r="CT17" s="18">
        <f t="shared" ca="1" si="87"/>
        <v>23872.095664572647</v>
      </c>
      <c r="CU17" s="18">
        <f t="shared" ca="1" si="88"/>
        <v>24879.821518708759</v>
      </c>
      <c r="CV17" s="18">
        <f t="shared" ca="1" si="89"/>
        <v>24106.536338225898</v>
      </c>
      <c r="CW17" s="18">
        <f t="shared" ca="1" si="90"/>
        <v>24051.239605722472</v>
      </c>
      <c r="CX17" s="18">
        <f t="shared" ca="1" si="91"/>
        <v>25888.446271347275</v>
      </c>
      <c r="CY17" s="18">
        <f t="shared" ca="1" si="92"/>
        <v>25059.09510516463</v>
      </c>
      <c r="CZ17" s="18">
        <f t="shared" ca="1" si="93"/>
        <v>22393.941996273687</v>
      </c>
      <c r="DA17" s="18">
        <f t="shared" ca="1" si="94"/>
        <v>24113.827449486187</v>
      </c>
      <c r="DB17" s="18">
        <f t="shared" ca="1" si="95"/>
        <v>23130.463059088604</v>
      </c>
      <c r="DC17" s="18">
        <f t="shared" ca="1" si="96"/>
        <v>24601.666191519587</v>
      </c>
      <c r="DD17" s="18">
        <f t="shared" ca="1" si="97"/>
        <v>23988.595346336529</v>
      </c>
      <c r="DE17" s="18">
        <f t="shared" ca="1" si="98"/>
        <v>25587.214760194965</v>
      </c>
    </row>
    <row r="18" spans="1:120" x14ac:dyDescent="0.35">
      <c r="A18" s="16">
        <v>44453</v>
      </c>
      <c r="B18" s="17">
        <v>17380</v>
      </c>
      <c r="C18" s="10"/>
      <c r="D18" s="19">
        <f t="shared" si="0"/>
        <v>1.4221845881971984E-3</v>
      </c>
      <c r="I18" s="13" t="s">
        <v>21</v>
      </c>
      <c r="J18" s="18">
        <f t="shared" ca="1" si="100"/>
        <v>24426.255952308078</v>
      </c>
      <c r="K18" s="18">
        <f t="shared" ca="1" si="1"/>
        <v>24102.732320728395</v>
      </c>
      <c r="L18" s="18">
        <f t="shared" ca="1" si="1"/>
        <v>23295.409735122728</v>
      </c>
      <c r="M18" s="18">
        <f t="shared" ca="1" si="2"/>
        <v>25298.572178085269</v>
      </c>
      <c r="N18" s="18">
        <f t="shared" ca="1" si="3"/>
        <v>24886.968060470339</v>
      </c>
      <c r="O18" s="18">
        <f t="shared" ca="1" si="4"/>
        <v>24265.550490298789</v>
      </c>
      <c r="P18" s="18">
        <f t="shared" ca="1" si="5"/>
        <v>23271.801590674597</v>
      </c>
      <c r="Q18" s="18">
        <f t="shared" ca="1" si="6"/>
        <v>24145.915468103929</v>
      </c>
      <c r="R18" s="18">
        <f t="shared" ca="1" si="7"/>
        <v>24985.522689351401</v>
      </c>
      <c r="S18" s="18">
        <f t="shared" ca="1" si="8"/>
        <v>24523.157108467265</v>
      </c>
      <c r="T18" s="18">
        <f t="shared" ca="1" si="9"/>
        <v>22817.122793503189</v>
      </c>
      <c r="U18" s="18">
        <f t="shared" ca="1" si="10"/>
        <v>24289.099083343288</v>
      </c>
      <c r="V18" s="18">
        <f t="shared" ca="1" si="11"/>
        <v>24009.500397583808</v>
      </c>
      <c r="W18" s="18">
        <f t="shared" ca="1" si="12"/>
        <v>23226.552418500811</v>
      </c>
      <c r="X18" s="18">
        <f t="shared" ca="1" si="13"/>
        <v>25153.245159807902</v>
      </c>
      <c r="Y18" s="18">
        <f t="shared" ca="1" si="14"/>
        <v>23316.228937452597</v>
      </c>
      <c r="Z18" s="18">
        <f t="shared" ca="1" si="15"/>
        <v>24079.683244132106</v>
      </c>
      <c r="AA18" s="18">
        <f t="shared" ca="1" si="16"/>
        <v>23346.813819439405</v>
      </c>
      <c r="AB18" s="18">
        <f t="shared" ca="1" si="17"/>
        <v>25156.615732636474</v>
      </c>
      <c r="AC18" s="18">
        <f t="shared" ca="1" si="18"/>
        <v>24081.096861183843</v>
      </c>
      <c r="AD18" s="18">
        <f t="shared" ca="1" si="19"/>
        <v>24596.69036118962</v>
      </c>
      <c r="AE18" s="18">
        <f t="shared" ca="1" si="20"/>
        <v>24077.725571211158</v>
      </c>
      <c r="AF18" s="18">
        <f t="shared" ca="1" si="21"/>
        <v>23807.288340469513</v>
      </c>
      <c r="AG18" s="18">
        <f t="shared" ca="1" si="22"/>
        <v>24038.8026151876</v>
      </c>
      <c r="AH18" s="18">
        <f t="shared" ca="1" si="23"/>
        <v>26538.387577241523</v>
      </c>
      <c r="AI18" s="18">
        <f t="shared" ca="1" si="24"/>
        <v>24491.690276766443</v>
      </c>
      <c r="AJ18" s="18">
        <f t="shared" ca="1" si="25"/>
        <v>22804.758411065119</v>
      </c>
      <c r="AK18" s="18">
        <f t="shared" ca="1" si="26"/>
        <v>23724.711065611518</v>
      </c>
      <c r="AL18" s="18">
        <f t="shared" ca="1" si="27"/>
        <v>23656.695641618844</v>
      </c>
      <c r="AM18" s="18">
        <f t="shared" ca="1" si="28"/>
        <v>24293.84013512051</v>
      </c>
      <c r="AN18" s="18">
        <f t="shared" ca="1" si="29"/>
        <v>23839.611579943306</v>
      </c>
      <c r="AO18" s="18">
        <f t="shared" ca="1" si="30"/>
        <v>25137.895687435575</v>
      </c>
      <c r="AP18" s="18">
        <f t="shared" ca="1" si="31"/>
        <v>23322.566061087979</v>
      </c>
      <c r="AQ18" s="18">
        <f t="shared" ca="1" si="32"/>
        <v>25606.339778527588</v>
      </c>
      <c r="AR18" s="18">
        <f t="shared" ca="1" si="33"/>
        <v>24458.703655898345</v>
      </c>
      <c r="AS18" s="18">
        <f t="shared" ca="1" si="34"/>
        <v>25682.647215006582</v>
      </c>
      <c r="AT18" s="18">
        <f t="shared" ca="1" si="35"/>
        <v>25379.789298869448</v>
      </c>
      <c r="AU18" s="18">
        <f t="shared" ca="1" si="36"/>
        <v>22733.255083213811</v>
      </c>
      <c r="AV18" s="18">
        <f t="shared" ca="1" si="37"/>
        <v>23611.245712370663</v>
      </c>
      <c r="AW18" s="18">
        <f t="shared" ca="1" si="38"/>
        <v>23862.693173407908</v>
      </c>
      <c r="AX18" s="18">
        <f t="shared" ca="1" si="39"/>
        <v>24922.728063051385</v>
      </c>
      <c r="AY18" s="18">
        <f t="shared" ca="1" si="40"/>
        <v>23933.751205466157</v>
      </c>
      <c r="AZ18" s="18">
        <f t="shared" ca="1" si="41"/>
        <v>24680.406855954039</v>
      </c>
      <c r="BA18" s="18">
        <f t="shared" ca="1" si="42"/>
        <v>26086.508083655368</v>
      </c>
      <c r="BB18" s="18">
        <f t="shared" ca="1" si="43"/>
        <v>24793.236841510461</v>
      </c>
      <c r="BC18" s="18">
        <f t="shared" ca="1" si="44"/>
        <v>23602.730921287675</v>
      </c>
      <c r="BD18" s="18">
        <f t="shared" ca="1" si="45"/>
        <v>25114.170579298599</v>
      </c>
      <c r="BE18" s="18">
        <f t="shared" ca="1" si="46"/>
        <v>25222.526660129715</v>
      </c>
      <c r="BF18" s="18">
        <f t="shared" ca="1" si="47"/>
        <v>24102.666155006696</v>
      </c>
      <c r="BG18" s="18">
        <f t="shared" ca="1" si="48"/>
        <v>23724.290147039625</v>
      </c>
      <c r="BH18" s="18">
        <f t="shared" ca="1" si="49"/>
        <v>24293.251585640723</v>
      </c>
      <c r="BI18" s="18">
        <f t="shared" ca="1" si="50"/>
        <v>23464.167083855271</v>
      </c>
      <c r="BJ18" s="18">
        <f t="shared" ca="1" si="51"/>
        <v>24383.438899391967</v>
      </c>
      <c r="BK18" s="18">
        <f t="shared" ca="1" si="52"/>
        <v>24574.774951602391</v>
      </c>
      <c r="BL18" s="18">
        <f t="shared" ca="1" si="53"/>
        <v>23898.531872970991</v>
      </c>
      <c r="BM18" s="18">
        <f t="shared" ca="1" si="54"/>
        <v>22505.56530981043</v>
      </c>
      <c r="BN18" s="18">
        <f t="shared" ca="1" si="55"/>
        <v>23313.316906361029</v>
      </c>
      <c r="BO18" s="18">
        <f t="shared" ca="1" si="56"/>
        <v>22992.998167753267</v>
      </c>
      <c r="BP18" s="18">
        <f t="shared" ca="1" si="57"/>
        <v>22903.737147873861</v>
      </c>
      <c r="BQ18" s="18">
        <f t="shared" ca="1" si="58"/>
        <v>24452.476448770085</v>
      </c>
      <c r="BR18" s="18">
        <f t="shared" ca="1" si="59"/>
        <v>25460.376936660181</v>
      </c>
      <c r="BS18" s="18">
        <f t="shared" ca="1" si="60"/>
        <v>23182.642822616028</v>
      </c>
      <c r="BT18" s="18">
        <f t="shared" ca="1" si="61"/>
        <v>23187.386189610883</v>
      </c>
      <c r="BU18" s="18">
        <f t="shared" ca="1" si="62"/>
        <v>24971.995267202517</v>
      </c>
      <c r="BV18" s="18">
        <f t="shared" ca="1" si="63"/>
        <v>23992.002969215191</v>
      </c>
      <c r="BW18" s="18">
        <f t="shared" ca="1" si="64"/>
        <v>24936.613427777062</v>
      </c>
      <c r="BX18" s="18">
        <f t="shared" ca="1" si="65"/>
        <v>24720.56496665868</v>
      </c>
      <c r="BY18" s="18">
        <f t="shared" ca="1" si="66"/>
        <v>24644.142971573303</v>
      </c>
      <c r="BZ18" s="18">
        <f t="shared" ca="1" si="67"/>
        <v>22504.645677373886</v>
      </c>
      <c r="CA18" s="18">
        <f t="shared" ca="1" si="68"/>
        <v>24519.992652312249</v>
      </c>
      <c r="CB18" s="18">
        <f t="shared" ca="1" si="69"/>
        <v>24667.873882666496</v>
      </c>
      <c r="CC18" s="18">
        <f t="shared" ca="1" si="70"/>
        <v>23491.412624862034</v>
      </c>
      <c r="CD18" s="18">
        <f t="shared" ca="1" si="71"/>
        <v>24625.266044633838</v>
      </c>
      <c r="CE18" s="18">
        <f t="shared" ca="1" si="72"/>
        <v>24934.456386980874</v>
      </c>
      <c r="CF18" s="18">
        <f t="shared" ca="1" si="73"/>
        <v>24486.663078135036</v>
      </c>
      <c r="CG18" s="18">
        <f t="shared" ca="1" si="74"/>
        <v>24047.739513530072</v>
      </c>
      <c r="CH18" s="18">
        <f t="shared" ca="1" si="75"/>
        <v>24185.917251315139</v>
      </c>
      <c r="CI18" s="18">
        <f t="shared" ca="1" si="76"/>
        <v>23036.225370949865</v>
      </c>
      <c r="CJ18" s="18">
        <f t="shared" ca="1" si="77"/>
        <v>23964.308840965699</v>
      </c>
      <c r="CK18" s="18">
        <f t="shared" ca="1" si="78"/>
        <v>22926.877896511076</v>
      </c>
      <c r="CL18" s="18">
        <f t="shared" ca="1" si="79"/>
        <v>23906.5931659905</v>
      </c>
      <c r="CM18" s="18">
        <f t="shared" ca="1" si="80"/>
        <v>23706.571001813285</v>
      </c>
      <c r="CN18" s="18">
        <f t="shared" ca="1" si="81"/>
        <v>25904.60256399076</v>
      </c>
      <c r="CO18" s="18">
        <f t="shared" ca="1" si="82"/>
        <v>24545.850768541713</v>
      </c>
      <c r="CP18" s="18">
        <f t="shared" ca="1" si="83"/>
        <v>24076.420500900698</v>
      </c>
      <c r="CQ18" s="18">
        <f t="shared" ca="1" si="84"/>
        <v>24232.983915515684</v>
      </c>
      <c r="CR18" s="18">
        <f t="shared" ca="1" si="85"/>
        <v>23972.550625313776</v>
      </c>
      <c r="CS18" s="18">
        <f t="shared" ca="1" si="86"/>
        <v>23448.24556840615</v>
      </c>
      <c r="CT18" s="18">
        <f t="shared" ca="1" si="87"/>
        <v>24152.519964905383</v>
      </c>
      <c r="CU18" s="18">
        <f t="shared" ca="1" si="88"/>
        <v>25194.270001747478</v>
      </c>
      <c r="CV18" s="18">
        <f t="shared" ca="1" si="89"/>
        <v>24132.705832370288</v>
      </c>
      <c r="CW18" s="18">
        <f t="shared" ca="1" si="90"/>
        <v>23975.099562541829</v>
      </c>
      <c r="CX18" s="18">
        <f t="shared" ca="1" si="91"/>
        <v>25875.762913020935</v>
      </c>
      <c r="CY18" s="18">
        <f t="shared" ca="1" si="92"/>
        <v>24863.396670712307</v>
      </c>
      <c r="CZ18" s="18">
        <f t="shared" ca="1" si="93"/>
        <v>22556.569116579922</v>
      </c>
      <c r="DA18" s="18">
        <f t="shared" ca="1" si="94"/>
        <v>23880.700438102242</v>
      </c>
      <c r="DB18" s="18">
        <f t="shared" ca="1" si="95"/>
        <v>23158.329997670513</v>
      </c>
      <c r="DC18" s="18">
        <f t="shared" ca="1" si="96"/>
        <v>24468.14319568023</v>
      </c>
      <c r="DD18" s="18">
        <f t="shared" ca="1" si="97"/>
        <v>23825.835689006624</v>
      </c>
      <c r="DE18" s="18">
        <f t="shared" ca="1" si="98"/>
        <v>25339.613348056075</v>
      </c>
    </row>
    <row r="19" spans="1:120" x14ac:dyDescent="0.35">
      <c r="A19" s="16">
        <v>44454</v>
      </c>
      <c r="B19" s="17">
        <v>17519.45</v>
      </c>
      <c r="C19" s="10"/>
      <c r="D19" s="19">
        <f t="shared" si="0"/>
        <v>7.9915724841745379E-3</v>
      </c>
      <c r="I19" s="13" t="s">
        <v>22</v>
      </c>
      <c r="J19" s="18">
        <f t="shared" ca="1" si="100"/>
        <v>24471.705469938777</v>
      </c>
      <c r="K19" s="18">
        <f t="shared" ca="1" si="100"/>
        <v>24098.37281329327</v>
      </c>
      <c r="L19" s="18">
        <f t="shared" ca="1" si="100"/>
        <v>23474.56706260307</v>
      </c>
      <c r="M19" s="18">
        <f t="shared" ca="1" si="2"/>
        <v>25468.113903215468</v>
      </c>
      <c r="N19" s="18">
        <f t="shared" ca="1" si="3"/>
        <v>25059.608075741544</v>
      </c>
      <c r="O19" s="18">
        <f t="shared" ca="1" si="4"/>
        <v>24237.723241576103</v>
      </c>
      <c r="P19" s="18">
        <f t="shared" ca="1" si="5"/>
        <v>23304.377724567705</v>
      </c>
      <c r="Q19" s="18">
        <f t="shared" ca="1" si="6"/>
        <v>24374.937516004844</v>
      </c>
      <c r="R19" s="18">
        <f t="shared" ca="1" si="7"/>
        <v>25075.497464803077</v>
      </c>
      <c r="S19" s="18">
        <f t="shared" ca="1" si="8"/>
        <v>24642.552926995661</v>
      </c>
      <c r="T19" s="18">
        <f t="shared" ca="1" si="9"/>
        <v>22538.368129342722</v>
      </c>
      <c r="U19" s="18">
        <f t="shared" ca="1" si="10"/>
        <v>24503.154533018653</v>
      </c>
      <c r="V19" s="18">
        <f t="shared" ca="1" si="11"/>
        <v>24194.224630000259</v>
      </c>
      <c r="W19" s="18">
        <f t="shared" ca="1" si="12"/>
        <v>23383.86795649086</v>
      </c>
      <c r="X19" s="18">
        <f t="shared" ca="1" si="13"/>
        <v>25200.119069643715</v>
      </c>
      <c r="Y19" s="18">
        <f t="shared" ca="1" si="14"/>
        <v>23457.008658625764</v>
      </c>
      <c r="Z19" s="18">
        <f t="shared" ca="1" si="15"/>
        <v>24019.650608068281</v>
      </c>
      <c r="AA19" s="18">
        <f t="shared" ca="1" si="16"/>
        <v>23074.659629511541</v>
      </c>
      <c r="AB19" s="18">
        <f t="shared" ca="1" si="17"/>
        <v>25020.724667937517</v>
      </c>
      <c r="AC19" s="18">
        <f t="shared" ca="1" si="18"/>
        <v>24030.147119387675</v>
      </c>
      <c r="AD19" s="18">
        <f t="shared" ca="1" si="19"/>
        <v>24653.232529517449</v>
      </c>
      <c r="AE19" s="18">
        <f t="shared" ca="1" si="20"/>
        <v>23940.541851406531</v>
      </c>
      <c r="AF19" s="18">
        <f t="shared" ca="1" si="21"/>
        <v>23927.233323149223</v>
      </c>
      <c r="AG19" s="18">
        <f t="shared" ca="1" si="22"/>
        <v>24072.427256136561</v>
      </c>
      <c r="AH19" s="18">
        <f t="shared" ca="1" si="23"/>
        <v>26695.475043892046</v>
      </c>
      <c r="AI19" s="18">
        <f t="shared" ca="1" si="24"/>
        <v>24677.580897807453</v>
      </c>
      <c r="AJ19" s="18">
        <f t="shared" ca="1" si="25"/>
        <v>22638.377811043501</v>
      </c>
      <c r="AK19" s="18">
        <f t="shared" ca="1" si="26"/>
        <v>23695.495671192679</v>
      </c>
      <c r="AL19" s="18">
        <f t="shared" ca="1" si="27"/>
        <v>23720.289169867556</v>
      </c>
      <c r="AM19" s="18">
        <f t="shared" ca="1" si="28"/>
        <v>24227.41633868498</v>
      </c>
      <c r="AN19" s="18">
        <f t="shared" ca="1" si="29"/>
        <v>23521.889911162038</v>
      </c>
      <c r="AO19" s="18">
        <f t="shared" ca="1" si="30"/>
        <v>24904.725145170967</v>
      </c>
      <c r="AP19" s="18">
        <f t="shared" ca="1" si="31"/>
        <v>23419.506553935855</v>
      </c>
      <c r="AQ19" s="18">
        <f t="shared" ca="1" si="32"/>
        <v>25256.876624641587</v>
      </c>
      <c r="AR19" s="18">
        <f t="shared" ca="1" si="33"/>
        <v>24448.098259000108</v>
      </c>
      <c r="AS19" s="18">
        <f t="shared" ca="1" si="34"/>
        <v>25460.427014030174</v>
      </c>
      <c r="AT19" s="18">
        <f t="shared" ca="1" si="35"/>
        <v>25604.455407253201</v>
      </c>
      <c r="AU19" s="18">
        <f t="shared" ca="1" si="36"/>
        <v>23081.722187364368</v>
      </c>
      <c r="AV19" s="18">
        <f t="shared" ca="1" si="37"/>
        <v>23646.494181623995</v>
      </c>
      <c r="AW19" s="18">
        <f t="shared" ca="1" si="38"/>
        <v>24220.977561333955</v>
      </c>
      <c r="AX19" s="18">
        <f t="shared" ca="1" si="39"/>
        <v>25342.562009938763</v>
      </c>
      <c r="AY19" s="18">
        <f t="shared" ca="1" si="40"/>
        <v>24014.429308644623</v>
      </c>
      <c r="AZ19" s="18">
        <f t="shared" ca="1" si="41"/>
        <v>24445.346328823711</v>
      </c>
      <c r="BA19" s="18">
        <f t="shared" ca="1" si="42"/>
        <v>26350.938871382343</v>
      </c>
      <c r="BB19" s="18">
        <f t="shared" ca="1" si="43"/>
        <v>24655.183520758277</v>
      </c>
      <c r="BC19" s="18">
        <f t="shared" ca="1" si="44"/>
        <v>23508.478484633124</v>
      </c>
      <c r="BD19" s="18">
        <f t="shared" ca="1" si="45"/>
        <v>25085.70902154221</v>
      </c>
      <c r="BE19" s="18">
        <f t="shared" ca="1" si="46"/>
        <v>25204.492547664398</v>
      </c>
      <c r="BF19" s="18">
        <f t="shared" ca="1" si="47"/>
        <v>24141.725162242983</v>
      </c>
      <c r="BG19" s="18">
        <f t="shared" ca="1" si="48"/>
        <v>23579.753931068193</v>
      </c>
      <c r="BH19" s="18">
        <f t="shared" ca="1" si="49"/>
        <v>24422.271683593131</v>
      </c>
      <c r="BI19" s="18">
        <f t="shared" ca="1" si="50"/>
        <v>23385.438993201024</v>
      </c>
      <c r="BJ19" s="18">
        <f t="shared" ca="1" si="51"/>
        <v>24413.527333514172</v>
      </c>
      <c r="BK19" s="18">
        <f t="shared" ca="1" si="52"/>
        <v>24550.296824965346</v>
      </c>
      <c r="BL19" s="18">
        <f t="shared" ca="1" si="53"/>
        <v>23492.719217074515</v>
      </c>
      <c r="BM19" s="18">
        <f t="shared" ca="1" si="54"/>
        <v>22710.227087675772</v>
      </c>
      <c r="BN19" s="18">
        <f t="shared" ca="1" si="55"/>
        <v>22920.323144129223</v>
      </c>
      <c r="BO19" s="18">
        <f t="shared" ca="1" si="56"/>
        <v>22887.641176918001</v>
      </c>
      <c r="BP19" s="18">
        <f t="shared" ca="1" si="57"/>
        <v>23246.877067929545</v>
      </c>
      <c r="BQ19" s="18">
        <f t="shared" ca="1" si="58"/>
        <v>24644.368475590454</v>
      </c>
      <c r="BR19" s="18">
        <f t="shared" ca="1" si="59"/>
        <v>25313.653101952117</v>
      </c>
      <c r="BS19" s="18">
        <f t="shared" ca="1" si="60"/>
        <v>23095.123983362831</v>
      </c>
      <c r="BT19" s="18">
        <f t="shared" ca="1" si="61"/>
        <v>23111.736425285726</v>
      </c>
      <c r="BU19" s="18">
        <f t="shared" ca="1" si="62"/>
        <v>24965.753627071699</v>
      </c>
      <c r="BV19" s="18">
        <f t="shared" ca="1" si="63"/>
        <v>24404.93265353766</v>
      </c>
      <c r="BW19" s="18">
        <f t="shared" ca="1" si="64"/>
        <v>24744.556115335603</v>
      </c>
      <c r="BX19" s="18">
        <f t="shared" ca="1" si="65"/>
        <v>25167.365395106823</v>
      </c>
      <c r="BY19" s="18">
        <f t="shared" ca="1" si="66"/>
        <v>24247.810009048742</v>
      </c>
      <c r="BZ19" s="18">
        <f t="shared" ca="1" si="67"/>
        <v>22317.912074678105</v>
      </c>
      <c r="CA19" s="18">
        <f t="shared" ca="1" si="68"/>
        <v>24704.094867078846</v>
      </c>
      <c r="CB19" s="18">
        <f t="shared" ca="1" si="69"/>
        <v>24786.201319412521</v>
      </c>
      <c r="CC19" s="18">
        <f t="shared" ca="1" si="70"/>
        <v>23391.72398002549</v>
      </c>
      <c r="CD19" s="18">
        <f t="shared" ca="1" si="71"/>
        <v>24500.62579194771</v>
      </c>
      <c r="CE19" s="18">
        <f t="shared" ca="1" si="72"/>
        <v>24762.502137584106</v>
      </c>
      <c r="CF19" s="18">
        <f t="shared" ca="1" si="73"/>
        <v>24388.16322105697</v>
      </c>
      <c r="CG19" s="18">
        <f t="shared" ca="1" si="74"/>
        <v>24365.231055397962</v>
      </c>
      <c r="CH19" s="18">
        <f t="shared" ca="1" si="75"/>
        <v>24073.751595919628</v>
      </c>
      <c r="CI19" s="18">
        <f t="shared" ca="1" si="76"/>
        <v>22770.293323166581</v>
      </c>
      <c r="CJ19" s="18">
        <f t="shared" ca="1" si="77"/>
        <v>23806.377937235855</v>
      </c>
      <c r="CK19" s="18">
        <f t="shared" ca="1" si="78"/>
        <v>23002.356146896735</v>
      </c>
      <c r="CL19" s="18">
        <f t="shared" ca="1" si="79"/>
        <v>23856.134902212667</v>
      </c>
      <c r="CM19" s="18">
        <f t="shared" ca="1" si="80"/>
        <v>23628.140943684011</v>
      </c>
      <c r="CN19" s="18">
        <f t="shared" ca="1" si="81"/>
        <v>25838.095129538015</v>
      </c>
      <c r="CO19" s="18">
        <f t="shared" ca="1" si="82"/>
        <v>24758.462121196822</v>
      </c>
      <c r="CP19" s="18">
        <f t="shared" ca="1" si="83"/>
        <v>24255.808392702933</v>
      </c>
      <c r="CQ19" s="18">
        <f t="shared" ca="1" si="84"/>
        <v>24223.834840458559</v>
      </c>
      <c r="CR19" s="18">
        <f t="shared" ca="1" si="85"/>
        <v>24005.678684205915</v>
      </c>
      <c r="CS19" s="18">
        <f t="shared" ca="1" si="86"/>
        <v>23309.590053772212</v>
      </c>
      <c r="CT19" s="18">
        <f t="shared" ca="1" si="87"/>
        <v>24374.762183836141</v>
      </c>
      <c r="CU19" s="18">
        <f t="shared" ca="1" si="88"/>
        <v>25712.715454902485</v>
      </c>
      <c r="CV19" s="18">
        <f t="shared" ca="1" si="89"/>
        <v>24265.509447514847</v>
      </c>
      <c r="CW19" s="18">
        <f t="shared" ca="1" si="90"/>
        <v>24161.43994153574</v>
      </c>
      <c r="CX19" s="18">
        <f t="shared" ca="1" si="91"/>
        <v>25861.219278506142</v>
      </c>
      <c r="CY19" s="18">
        <f t="shared" ca="1" si="92"/>
        <v>24655.338851185039</v>
      </c>
      <c r="CZ19" s="18">
        <f t="shared" ca="1" si="93"/>
        <v>22558.246326161388</v>
      </c>
      <c r="DA19" s="18">
        <f t="shared" ca="1" si="94"/>
        <v>24023.100232209901</v>
      </c>
      <c r="DB19" s="18">
        <f t="shared" ca="1" si="95"/>
        <v>22947.996827768409</v>
      </c>
      <c r="DC19" s="18">
        <f t="shared" ca="1" si="96"/>
        <v>24126.537890784875</v>
      </c>
      <c r="DD19" s="18">
        <f t="shared" ca="1" si="97"/>
        <v>23831.031210050183</v>
      </c>
      <c r="DE19" s="18">
        <f t="shared" ca="1" si="98"/>
        <v>25946.687916528139</v>
      </c>
    </row>
    <row r="20" spans="1:120" x14ac:dyDescent="0.35">
      <c r="A20" s="16">
        <v>44455</v>
      </c>
      <c r="B20" s="17">
        <v>17629.5</v>
      </c>
      <c r="C20" s="10"/>
      <c r="D20" s="19">
        <f t="shared" si="0"/>
        <v>6.2619429374609938E-3</v>
      </c>
      <c r="I20" s="13" t="s">
        <v>23</v>
      </c>
      <c r="J20" s="18">
        <f t="shared" ca="1" si="100"/>
        <v>24342.344994893734</v>
      </c>
      <c r="K20" s="18">
        <f t="shared" ca="1" si="100"/>
        <v>24122.039448003594</v>
      </c>
      <c r="L20" s="18">
        <f t="shared" ca="1" si="100"/>
        <v>23704.132348145678</v>
      </c>
      <c r="M20" s="18">
        <f t="shared" ca="1" si="2"/>
        <v>25395.987764898193</v>
      </c>
      <c r="N20" s="18">
        <f t="shared" ca="1" si="3"/>
        <v>24933.805320220683</v>
      </c>
      <c r="O20" s="18">
        <f t="shared" ca="1" si="4"/>
        <v>24676.570924890406</v>
      </c>
      <c r="P20" s="18">
        <f t="shared" ca="1" si="5"/>
        <v>23041.066355794213</v>
      </c>
      <c r="Q20" s="18">
        <f t="shared" ca="1" si="6"/>
        <v>24518.986664182525</v>
      </c>
      <c r="R20" s="18">
        <f t="shared" ca="1" si="7"/>
        <v>25175.330687795082</v>
      </c>
      <c r="S20" s="18">
        <f t="shared" ca="1" si="8"/>
        <v>24617.188557601719</v>
      </c>
      <c r="T20" s="18">
        <f t="shared" ca="1" si="9"/>
        <v>22866.1035332469</v>
      </c>
      <c r="U20" s="18">
        <f t="shared" ca="1" si="10"/>
        <v>24417.080380425621</v>
      </c>
      <c r="V20" s="18">
        <f t="shared" ca="1" si="11"/>
        <v>24360.654513044639</v>
      </c>
      <c r="W20" s="18">
        <f t="shared" ca="1" si="12"/>
        <v>23296.380500924046</v>
      </c>
      <c r="X20" s="18">
        <f t="shared" ca="1" si="13"/>
        <v>25120.144805472399</v>
      </c>
      <c r="Y20" s="18">
        <f t="shared" ca="1" si="14"/>
        <v>23710.734417457013</v>
      </c>
      <c r="Z20" s="18">
        <f t="shared" ca="1" si="15"/>
        <v>23748.307585366962</v>
      </c>
      <c r="AA20" s="18">
        <f t="shared" ca="1" si="16"/>
        <v>23201.691038401656</v>
      </c>
      <c r="AB20" s="18">
        <f t="shared" ca="1" si="17"/>
        <v>25085.432779107945</v>
      </c>
      <c r="AC20" s="18">
        <f t="shared" ca="1" si="18"/>
        <v>23898.861307892461</v>
      </c>
      <c r="AD20" s="18">
        <f t="shared" ca="1" si="19"/>
        <v>24957.696640818231</v>
      </c>
      <c r="AE20" s="18">
        <f t="shared" ca="1" si="20"/>
        <v>23897.342496469431</v>
      </c>
      <c r="AF20" s="18">
        <f t="shared" ca="1" si="21"/>
        <v>24119.830734548348</v>
      </c>
      <c r="AG20" s="18">
        <f t="shared" ca="1" si="22"/>
        <v>24278.235840638732</v>
      </c>
      <c r="AH20" s="18">
        <f t="shared" ca="1" si="23"/>
        <v>26786.391725406764</v>
      </c>
      <c r="AI20" s="18">
        <f t="shared" ca="1" si="24"/>
        <v>25014.108189159793</v>
      </c>
      <c r="AJ20" s="18">
        <f t="shared" ca="1" si="25"/>
        <v>22423.949164129339</v>
      </c>
      <c r="AK20" s="18">
        <f t="shared" ca="1" si="26"/>
        <v>23634.968733457281</v>
      </c>
      <c r="AL20" s="18">
        <f t="shared" ca="1" si="27"/>
        <v>23794.348137597215</v>
      </c>
      <c r="AM20" s="18">
        <f t="shared" ca="1" si="28"/>
        <v>23852.624932418934</v>
      </c>
      <c r="AN20" s="18">
        <f t="shared" ca="1" si="29"/>
        <v>23403.647633244229</v>
      </c>
      <c r="AO20" s="18">
        <f t="shared" ca="1" si="30"/>
        <v>24948.967264626877</v>
      </c>
      <c r="AP20" s="18">
        <f t="shared" ca="1" si="31"/>
        <v>23420.180952108964</v>
      </c>
      <c r="AQ20" s="18">
        <f t="shared" ca="1" si="32"/>
        <v>25515.936739059343</v>
      </c>
      <c r="AR20" s="18">
        <f t="shared" ca="1" si="33"/>
        <v>24699.856280895241</v>
      </c>
      <c r="AS20" s="18">
        <f t="shared" ca="1" si="34"/>
        <v>25844.449114518073</v>
      </c>
      <c r="AT20" s="18">
        <f t="shared" ca="1" si="35"/>
        <v>25435.346582818638</v>
      </c>
      <c r="AU20" s="18">
        <f t="shared" ca="1" si="36"/>
        <v>22830.485889172287</v>
      </c>
      <c r="AV20" s="18">
        <f t="shared" ca="1" si="37"/>
        <v>23343.496632046168</v>
      </c>
      <c r="AW20" s="18">
        <f t="shared" ca="1" si="38"/>
        <v>24228.047528580781</v>
      </c>
      <c r="AX20" s="18">
        <f t="shared" ca="1" si="39"/>
        <v>25323.759803969428</v>
      </c>
      <c r="AY20" s="18">
        <f t="shared" ca="1" si="40"/>
        <v>24238.469170248096</v>
      </c>
      <c r="AZ20" s="18">
        <f t="shared" ca="1" si="41"/>
        <v>24329.423307823796</v>
      </c>
      <c r="BA20" s="18">
        <f t="shared" ca="1" si="42"/>
        <v>27046.090746982492</v>
      </c>
      <c r="BB20" s="18">
        <f t="shared" ca="1" si="43"/>
        <v>24783.13118743477</v>
      </c>
      <c r="BC20" s="18">
        <f t="shared" ca="1" si="44"/>
        <v>23530.697910040581</v>
      </c>
      <c r="BD20" s="18">
        <f t="shared" ca="1" si="45"/>
        <v>24631.750591077929</v>
      </c>
      <c r="BE20" s="18">
        <f t="shared" ca="1" si="46"/>
        <v>25426.467096105167</v>
      </c>
      <c r="BF20" s="18">
        <f t="shared" ca="1" si="47"/>
        <v>23809.816689354386</v>
      </c>
      <c r="BG20" s="18">
        <f t="shared" ca="1" si="48"/>
        <v>23283.052790702259</v>
      </c>
      <c r="BH20" s="18">
        <f t="shared" ca="1" si="49"/>
        <v>24168.599201622255</v>
      </c>
      <c r="BI20" s="18">
        <f t="shared" ca="1" si="50"/>
        <v>23645.414857363612</v>
      </c>
      <c r="BJ20" s="18">
        <f t="shared" ca="1" si="51"/>
        <v>24383.137887573408</v>
      </c>
      <c r="BK20" s="18">
        <f t="shared" ca="1" si="52"/>
        <v>24631.44709095906</v>
      </c>
      <c r="BL20" s="18">
        <f t="shared" ca="1" si="53"/>
        <v>23385.084825821992</v>
      </c>
      <c r="BM20" s="18">
        <f t="shared" ca="1" si="54"/>
        <v>22612.842748080282</v>
      </c>
      <c r="BN20" s="18">
        <f t="shared" ca="1" si="55"/>
        <v>22814.338235756979</v>
      </c>
      <c r="BO20" s="18">
        <f t="shared" ca="1" si="56"/>
        <v>22790.982434527425</v>
      </c>
      <c r="BP20" s="18">
        <f t="shared" ca="1" si="57"/>
        <v>23290.870889492548</v>
      </c>
      <c r="BQ20" s="18">
        <f t="shared" ca="1" si="58"/>
        <v>24463.692133005225</v>
      </c>
      <c r="BR20" s="18">
        <f t="shared" ca="1" si="59"/>
        <v>25530.84572996225</v>
      </c>
      <c r="BS20" s="18">
        <f t="shared" ca="1" si="60"/>
        <v>23171.304345051802</v>
      </c>
      <c r="BT20" s="18">
        <f t="shared" ca="1" si="61"/>
        <v>22993.076258671575</v>
      </c>
      <c r="BU20" s="18">
        <f t="shared" ca="1" si="62"/>
        <v>24456.291516430527</v>
      </c>
      <c r="BV20" s="18">
        <f t="shared" ca="1" si="63"/>
        <v>24198.156624384959</v>
      </c>
      <c r="BW20" s="18">
        <f t="shared" ca="1" si="64"/>
        <v>24710.898140971694</v>
      </c>
      <c r="BX20" s="18">
        <f t="shared" ca="1" si="65"/>
        <v>25051.744833420133</v>
      </c>
      <c r="BY20" s="18">
        <f t="shared" ca="1" si="66"/>
        <v>23969.676189142017</v>
      </c>
      <c r="BZ20" s="18">
        <f t="shared" ca="1" si="67"/>
        <v>22249.332038593489</v>
      </c>
      <c r="CA20" s="18">
        <f t="shared" ca="1" si="68"/>
        <v>24613.393517145247</v>
      </c>
      <c r="CB20" s="18">
        <f t="shared" ca="1" si="69"/>
        <v>24209.564652453013</v>
      </c>
      <c r="CC20" s="18">
        <f t="shared" ca="1" si="70"/>
        <v>23501.755265516262</v>
      </c>
      <c r="CD20" s="18">
        <f t="shared" ca="1" si="71"/>
        <v>24817.12307235397</v>
      </c>
      <c r="CE20" s="18">
        <f t="shared" ca="1" si="72"/>
        <v>24712.70294639215</v>
      </c>
      <c r="CF20" s="18">
        <f t="shared" ca="1" si="73"/>
        <v>24346.13823893989</v>
      </c>
      <c r="CG20" s="18">
        <f t="shared" ca="1" si="74"/>
        <v>24076.5061504435</v>
      </c>
      <c r="CH20" s="18">
        <f t="shared" ca="1" si="75"/>
        <v>23971.367563128228</v>
      </c>
      <c r="CI20" s="18">
        <f t="shared" ca="1" si="76"/>
        <v>22723.518977180171</v>
      </c>
      <c r="CJ20" s="18">
        <f t="shared" ca="1" si="77"/>
        <v>23810.308974479285</v>
      </c>
      <c r="CK20" s="18">
        <f t="shared" ca="1" si="78"/>
        <v>22956.130407801735</v>
      </c>
      <c r="CL20" s="18">
        <f t="shared" ca="1" si="79"/>
        <v>23606.974933258309</v>
      </c>
      <c r="CM20" s="18">
        <f t="shared" ca="1" si="80"/>
        <v>23588.85630305867</v>
      </c>
      <c r="CN20" s="18">
        <f t="shared" ca="1" si="81"/>
        <v>25656.93738095713</v>
      </c>
      <c r="CO20" s="18">
        <f t="shared" ca="1" si="82"/>
        <v>24648.324057444843</v>
      </c>
      <c r="CP20" s="18">
        <f t="shared" ca="1" si="83"/>
        <v>24410.32290046351</v>
      </c>
      <c r="CQ20" s="18">
        <f t="shared" ca="1" si="84"/>
        <v>24478.363500679072</v>
      </c>
      <c r="CR20" s="18">
        <f t="shared" ca="1" si="85"/>
        <v>23975.422910080004</v>
      </c>
      <c r="CS20" s="18">
        <f t="shared" ca="1" si="86"/>
        <v>23199.654314507137</v>
      </c>
      <c r="CT20" s="18">
        <f t="shared" ca="1" si="87"/>
        <v>24344.332242363169</v>
      </c>
      <c r="CU20" s="18">
        <f t="shared" ca="1" si="88"/>
        <v>25617.412054372358</v>
      </c>
      <c r="CV20" s="18">
        <f t="shared" ca="1" si="89"/>
        <v>24428.278190461904</v>
      </c>
      <c r="CW20" s="18">
        <f t="shared" ca="1" si="90"/>
        <v>24078.933563756356</v>
      </c>
      <c r="CX20" s="18">
        <f t="shared" ca="1" si="91"/>
        <v>25766.37146857657</v>
      </c>
      <c r="CY20" s="18">
        <f t="shared" ca="1" si="92"/>
        <v>24348.655625225918</v>
      </c>
      <c r="CZ20" s="18">
        <f t="shared" ca="1" si="93"/>
        <v>22393.032459793554</v>
      </c>
      <c r="DA20" s="18">
        <f t="shared" ca="1" si="94"/>
        <v>23448.574895444639</v>
      </c>
      <c r="DB20" s="18">
        <f t="shared" ca="1" si="95"/>
        <v>23235.373025403816</v>
      </c>
      <c r="DC20" s="18">
        <f t="shared" ca="1" si="96"/>
        <v>24056.259653472731</v>
      </c>
      <c r="DD20" s="18">
        <f t="shared" ca="1" si="97"/>
        <v>23715.851207181786</v>
      </c>
      <c r="DE20" s="18">
        <f t="shared" ca="1" si="98"/>
        <v>26078.89018382617</v>
      </c>
    </row>
    <row r="21" spans="1:120" x14ac:dyDescent="0.35">
      <c r="A21" s="16">
        <v>44456</v>
      </c>
      <c r="B21" s="17">
        <v>17585.150000000001</v>
      </c>
      <c r="C21" s="10"/>
      <c r="D21" s="19">
        <f t="shared" si="0"/>
        <v>-2.5188393721590984E-3</v>
      </c>
      <c r="I21" s="13" t="s">
        <v>24</v>
      </c>
      <c r="J21" s="18">
        <f t="shared" ca="1" si="100"/>
        <v>24384.858113904829</v>
      </c>
      <c r="K21" s="18">
        <f t="shared" ca="1" si="100"/>
        <v>23986.944964293602</v>
      </c>
      <c r="L21" s="18">
        <f t="shared" ca="1" si="100"/>
        <v>23438.390094709739</v>
      </c>
      <c r="M21" s="18">
        <f t="shared" ca="1" si="2"/>
        <v>25054.28805565778</v>
      </c>
      <c r="N21" s="18">
        <f t="shared" ca="1" si="3"/>
        <v>24756.912675422798</v>
      </c>
      <c r="O21" s="18">
        <f t="shared" ca="1" si="4"/>
        <v>24790.042435246858</v>
      </c>
      <c r="P21" s="18">
        <f t="shared" ca="1" si="5"/>
        <v>22942.251922777385</v>
      </c>
      <c r="Q21" s="18">
        <f t="shared" ca="1" si="6"/>
        <v>24898.130239046779</v>
      </c>
      <c r="R21" s="18">
        <f t="shared" ca="1" si="7"/>
        <v>25373.819350609101</v>
      </c>
      <c r="S21" s="18">
        <f t="shared" ca="1" si="8"/>
        <v>24613.735580402357</v>
      </c>
      <c r="T21" s="18">
        <f t="shared" ca="1" si="9"/>
        <v>22899.157778726763</v>
      </c>
      <c r="U21" s="18">
        <f t="shared" ca="1" si="10"/>
        <v>24348.349231628985</v>
      </c>
      <c r="V21" s="18">
        <f t="shared" ca="1" si="11"/>
        <v>24683.578263821699</v>
      </c>
      <c r="W21" s="18">
        <f t="shared" ca="1" si="12"/>
        <v>23596.371705775106</v>
      </c>
      <c r="X21" s="18">
        <f t="shared" ca="1" si="13"/>
        <v>25200.28851228756</v>
      </c>
      <c r="Y21" s="18">
        <f t="shared" ca="1" si="14"/>
        <v>23713.993009385053</v>
      </c>
      <c r="Z21" s="18">
        <f t="shared" ca="1" si="15"/>
        <v>23787.00502498382</v>
      </c>
      <c r="AA21" s="18">
        <f t="shared" ca="1" si="16"/>
        <v>23017.098286256012</v>
      </c>
      <c r="AB21" s="18">
        <f t="shared" ca="1" si="17"/>
        <v>24901.322737480295</v>
      </c>
      <c r="AC21" s="18">
        <f t="shared" ca="1" si="18"/>
        <v>23693.736178379717</v>
      </c>
      <c r="AD21" s="18">
        <f t="shared" ca="1" si="19"/>
        <v>25294.388244689315</v>
      </c>
      <c r="AE21" s="18">
        <f t="shared" ca="1" si="20"/>
        <v>23541.66712594936</v>
      </c>
      <c r="AF21" s="18">
        <f t="shared" ca="1" si="21"/>
        <v>24211.979591803905</v>
      </c>
      <c r="AG21" s="18">
        <f t="shared" ca="1" si="22"/>
        <v>24390.783336518169</v>
      </c>
      <c r="AH21" s="18">
        <f t="shared" ca="1" si="23"/>
        <v>26358.433134717005</v>
      </c>
      <c r="AI21" s="18">
        <f t="shared" ca="1" si="24"/>
        <v>25111.884884798001</v>
      </c>
      <c r="AJ21" s="18">
        <f t="shared" ca="1" si="25"/>
        <v>22440.750207331555</v>
      </c>
      <c r="AK21" s="18">
        <f t="shared" ca="1" si="26"/>
        <v>23901.993677285249</v>
      </c>
      <c r="AL21" s="18">
        <f t="shared" ca="1" si="27"/>
        <v>24051.488512966465</v>
      </c>
      <c r="AM21" s="18">
        <f t="shared" ca="1" si="28"/>
        <v>23456.735345425699</v>
      </c>
      <c r="AN21" s="18">
        <f t="shared" ca="1" si="29"/>
        <v>23660.673559238829</v>
      </c>
      <c r="AO21" s="18">
        <f t="shared" ca="1" si="30"/>
        <v>24885.284769014102</v>
      </c>
      <c r="AP21" s="18">
        <f t="shared" ca="1" si="31"/>
        <v>23716.937980523042</v>
      </c>
      <c r="AQ21" s="18">
        <f t="shared" ca="1" si="32"/>
        <v>25548.564566768466</v>
      </c>
      <c r="AR21" s="18">
        <f t="shared" ca="1" si="33"/>
        <v>24733.433429227174</v>
      </c>
      <c r="AS21" s="18">
        <f t="shared" ca="1" si="34"/>
        <v>25806.919128482921</v>
      </c>
      <c r="AT21" s="18">
        <f t="shared" ca="1" si="35"/>
        <v>25569.130999990382</v>
      </c>
      <c r="AU21" s="18">
        <f t="shared" ca="1" si="36"/>
        <v>22835.955899104993</v>
      </c>
      <c r="AV21" s="18">
        <f t="shared" ca="1" si="37"/>
        <v>22958.952928044826</v>
      </c>
      <c r="AW21" s="18">
        <f t="shared" ca="1" si="38"/>
        <v>23933.033050639144</v>
      </c>
      <c r="AX21" s="18">
        <f t="shared" ca="1" si="39"/>
        <v>25414.239537905109</v>
      </c>
      <c r="AY21" s="18">
        <f t="shared" ca="1" si="40"/>
        <v>24474.90438977228</v>
      </c>
      <c r="AZ21" s="18">
        <f t="shared" ca="1" si="41"/>
        <v>24520.900415455053</v>
      </c>
      <c r="BA21" s="18">
        <f t="shared" ca="1" si="42"/>
        <v>27168.376052418629</v>
      </c>
      <c r="BB21" s="18">
        <f t="shared" ca="1" si="43"/>
        <v>24542.229816198935</v>
      </c>
      <c r="BC21" s="18">
        <f t="shared" ca="1" si="44"/>
        <v>23702.795596563381</v>
      </c>
      <c r="BD21" s="18">
        <f t="shared" ca="1" si="45"/>
        <v>24663.420208615113</v>
      </c>
      <c r="BE21" s="18">
        <f t="shared" ca="1" si="46"/>
        <v>25518.927920928789</v>
      </c>
      <c r="BF21" s="18">
        <f t="shared" ca="1" si="47"/>
        <v>24008.846676748377</v>
      </c>
      <c r="BG21" s="18">
        <f t="shared" ca="1" si="48"/>
        <v>23008.281805535167</v>
      </c>
      <c r="BH21" s="18">
        <f t="shared" ca="1" si="49"/>
        <v>23541.065925442323</v>
      </c>
      <c r="BI21" s="18">
        <f t="shared" ca="1" si="50"/>
        <v>23783.729246899042</v>
      </c>
      <c r="BJ21" s="18">
        <f t="shared" ca="1" si="51"/>
        <v>24442.670124094355</v>
      </c>
      <c r="BK21" s="18">
        <f t="shared" ca="1" si="52"/>
        <v>24368.87147768342</v>
      </c>
      <c r="BL21" s="18">
        <f t="shared" ca="1" si="53"/>
        <v>23520.359660724673</v>
      </c>
      <c r="BM21" s="18">
        <f t="shared" ca="1" si="54"/>
        <v>22196.346666499903</v>
      </c>
      <c r="BN21" s="18">
        <f t="shared" ca="1" si="55"/>
        <v>22810.402779705582</v>
      </c>
      <c r="BO21" s="18">
        <f t="shared" ca="1" si="56"/>
        <v>22820.671312709244</v>
      </c>
      <c r="BP21" s="18">
        <f t="shared" ca="1" si="57"/>
        <v>23551.381021213805</v>
      </c>
      <c r="BQ21" s="18">
        <f t="shared" ca="1" si="58"/>
        <v>24497.776858941968</v>
      </c>
      <c r="BR21" s="18">
        <f t="shared" ca="1" si="59"/>
        <v>25427.323195905094</v>
      </c>
      <c r="BS21" s="18">
        <f t="shared" ca="1" si="60"/>
        <v>23538.397801113351</v>
      </c>
      <c r="BT21" s="18">
        <f t="shared" ca="1" si="61"/>
        <v>23229.707145930282</v>
      </c>
      <c r="BU21" s="18">
        <f t="shared" ca="1" si="62"/>
        <v>25114.650179502452</v>
      </c>
      <c r="BV21" s="18">
        <f t="shared" ca="1" si="63"/>
        <v>24307.603671391891</v>
      </c>
      <c r="BW21" s="18">
        <f t="shared" ca="1" si="64"/>
        <v>24941.745490832356</v>
      </c>
      <c r="BX21" s="18">
        <f t="shared" ca="1" si="65"/>
        <v>25131.901910492514</v>
      </c>
      <c r="BY21" s="18">
        <f t="shared" ca="1" si="66"/>
        <v>24060.544344141461</v>
      </c>
      <c r="BZ21" s="18">
        <f t="shared" ca="1" si="67"/>
        <v>22165.35784280697</v>
      </c>
      <c r="CA21" s="18">
        <f t="shared" ca="1" si="68"/>
        <v>24867.279242633438</v>
      </c>
      <c r="CB21" s="18">
        <f t="shared" ca="1" si="69"/>
        <v>24112.622162997752</v>
      </c>
      <c r="CC21" s="18">
        <f t="shared" ca="1" si="70"/>
        <v>23477.254112771949</v>
      </c>
      <c r="CD21" s="18">
        <f t="shared" ca="1" si="71"/>
        <v>24712.4750358526</v>
      </c>
      <c r="CE21" s="18">
        <f t="shared" ca="1" si="72"/>
        <v>25042.689929619417</v>
      </c>
      <c r="CF21" s="18">
        <f t="shared" ca="1" si="73"/>
        <v>23963.964055254499</v>
      </c>
      <c r="CG21" s="18">
        <f t="shared" ca="1" si="74"/>
        <v>24076.690867218815</v>
      </c>
      <c r="CH21" s="18">
        <f t="shared" ca="1" si="75"/>
        <v>23961.947621349209</v>
      </c>
      <c r="CI21" s="18">
        <f t="shared" ca="1" si="76"/>
        <v>22961.491243269302</v>
      </c>
      <c r="CJ21" s="18">
        <f t="shared" ca="1" si="77"/>
        <v>24234.636962102468</v>
      </c>
      <c r="CK21" s="18">
        <f t="shared" ca="1" si="78"/>
        <v>23054.14845104441</v>
      </c>
      <c r="CL21" s="18">
        <f t="shared" ca="1" si="79"/>
        <v>23722.978991009306</v>
      </c>
      <c r="CM21" s="18">
        <f t="shared" ca="1" si="80"/>
        <v>23665.076648979346</v>
      </c>
      <c r="CN21" s="18">
        <f t="shared" ca="1" si="81"/>
        <v>25349.30539174052</v>
      </c>
      <c r="CO21" s="18">
        <f t="shared" ca="1" si="82"/>
        <v>24710.526247437076</v>
      </c>
      <c r="CP21" s="18">
        <f t="shared" ca="1" si="83"/>
        <v>24096.739029670487</v>
      </c>
      <c r="CQ21" s="18">
        <f t="shared" ca="1" si="84"/>
        <v>24523.545126780733</v>
      </c>
      <c r="CR21" s="18">
        <f t="shared" ca="1" si="85"/>
        <v>24131.020965342192</v>
      </c>
      <c r="CS21" s="18">
        <f t="shared" ca="1" si="86"/>
        <v>23765.2233825851</v>
      </c>
      <c r="CT21" s="18">
        <f t="shared" ca="1" si="87"/>
        <v>24582.115365695488</v>
      </c>
      <c r="CU21" s="18">
        <f t="shared" ca="1" si="88"/>
        <v>25802.654615368101</v>
      </c>
      <c r="CV21" s="18">
        <f t="shared" ca="1" si="89"/>
        <v>24042.3120818309</v>
      </c>
      <c r="CW21" s="18">
        <f t="shared" ca="1" si="90"/>
        <v>24149.471755004237</v>
      </c>
      <c r="CX21" s="18">
        <f t="shared" ca="1" si="91"/>
        <v>25781.285908160273</v>
      </c>
      <c r="CY21" s="18">
        <f t="shared" ca="1" si="92"/>
        <v>24506.823705411109</v>
      </c>
      <c r="CZ21" s="18">
        <f t="shared" ca="1" si="93"/>
        <v>22075.889113386536</v>
      </c>
      <c r="DA21" s="18">
        <f t="shared" ca="1" si="94"/>
        <v>23531.944188254696</v>
      </c>
      <c r="DB21" s="18">
        <f t="shared" ca="1" si="95"/>
        <v>23432.545246012909</v>
      </c>
      <c r="DC21" s="18">
        <f t="shared" ca="1" si="96"/>
        <v>23900.674187048498</v>
      </c>
      <c r="DD21" s="18">
        <f t="shared" ca="1" si="97"/>
        <v>23561.584879902173</v>
      </c>
      <c r="DE21" s="18">
        <f t="shared" ca="1" si="98"/>
        <v>25847.679280813823</v>
      </c>
    </row>
    <row r="22" spans="1:120" x14ac:dyDescent="0.35">
      <c r="A22" s="16">
        <v>44459</v>
      </c>
      <c r="B22" s="17">
        <v>17396.900000000001</v>
      </c>
      <c r="C22" s="10"/>
      <c r="D22" s="19">
        <f t="shared" si="0"/>
        <v>-1.0762766458321043E-2</v>
      </c>
      <c r="I22" s="13" t="s">
        <v>25</v>
      </c>
      <c r="J22" s="18">
        <f t="shared" ca="1" si="100"/>
        <v>24682.177109257867</v>
      </c>
      <c r="K22" s="18">
        <f t="shared" ca="1" si="100"/>
        <v>23880.804304423371</v>
      </c>
      <c r="L22" s="18">
        <f t="shared" ca="1" si="100"/>
        <v>23483.222637145784</v>
      </c>
      <c r="M22" s="18">
        <f t="shared" ca="1" si="2"/>
        <v>25022.847689630587</v>
      </c>
      <c r="N22" s="18">
        <f t="shared" ca="1" si="3"/>
        <v>24588.606455071087</v>
      </c>
      <c r="O22" s="18">
        <f t="shared" ca="1" si="4"/>
        <v>24599.854094878094</v>
      </c>
      <c r="P22" s="18">
        <f t="shared" ca="1" si="5"/>
        <v>22833.343332737735</v>
      </c>
      <c r="Q22" s="18">
        <f t="shared" ca="1" si="6"/>
        <v>25391.260135281482</v>
      </c>
      <c r="R22" s="18">
        <f t="shared" ca="1" si="7"/>
        <v>25225.055396849522</v>
      </c>
      <c r="S22" s="18">
        <f t="shared" ca="1" si="8"/>
        <v>24682.737743194739</v>
      </c>
      <c r="T22" s="18">
        <f t="shared" ca="1" si="9"/>
        <v>22981.228480525813</v>
      </c>
      <c r="U22" s="18">
        <f t="shared" ca="1" si="10"/>
        <v>24464.916217206257</v>
      </c>
      <c r="V22" s="18">
        <f t="shared" ca="1" si="11"/>
        <v>24680.96299259724</v>
      </c>
      <c r="W22" s="18">
        <f t="shared" ca="1" si="12"/>
        <v>23820.699918197384</v>
      </c>
      <c r="X22" s="18">
        <f t="shared" ca="1" si="13"/>
        <v>24833.511529030911</v>
      </c>
      <c r="Y22" s="18">
        <f t="shared" ca="1" si="14"/>
        <v>23809.836078556269</v>
      </c>
      <c r="Z22" s="18">
        <f t="shared" ca="1" si="15"/>
        <v>24011.103555312922</v>
      </c>
      <c r="AA22" s="18">
        <f t="shared" ca="1" si="16"/>
        <v>23072.034403634065</v>
      </c>
      <c r="AB22" s="18">
        <f t="shared" ca="1" si="17"/>
        <v>25004.631647009908</v>
      </c>
      <c r="AC22" s="18">
        <f t="shared" ca="1" si="18"/>
        <v>23583.429967532309</v>
      </c>
      <c r="AD22" s="18">
        <f t="shared" ca="1" si="19"/>
        <v>25101.827371238869</v>
      </c>
      <c r="AE22" s="18">
        <f t="shared" ca="1" si="20"/>
        <v>23872.474146864031</v>
      </c>
      <c r="AF22" s="18">
        <f t="shared" ca="1" si="21"/>
        <v>24490.76390282713</v>
      </c>
      <c r="AG22" s="18">
        <f t="shared" ca="1" si="22"/>
        <v>24409.60743383551</v>
      </c>
      <c r="AH22" s="18">
        <f t="shared" ca="1" si="23"/>
        <v>26182.210249251086</v>
      </c>
      <c r="AI22" s="18">
        <f t="shared" ca="1" si="24"/>
        <v>24937.80730677379</v>
      </c>
      <c r="AJ22" s="18">
        <f t="shared" ca="1" si="25"/>
        <v>22616.963920299619</v>
      </c>
      <c r="AK22" s="18">
        <f t="shared" ca="1" si="26"/>
        <v>23847.816878896803</v>
      </c>
      <c r="AL22" s="18">
        <f t="shared" ca="1" si="27"/>
        <v>23966.546433508298</v>
      </c>
      <c r="AM22" s="18">
        <f t="shared" ca="1" si="28"/>
        <v>23788.749056779961</v>
      </c>
      <c r="AN22" s="18">
        <f t="shared" ca="1" si="29"/>
        <v>23664.909270411226</v>
      </c>
      <c r="AO22" s="18">
        <f t="shared" ca="1" si="30"/>
        <v>24879.760205282055</v>
      </c>
      <c r="AP22" s="18">
        <f t="shared" ca="1" si="31"/>
        <v>23722.035818175416</v>
      </c>
      <c r="AQ22" s="18">
        <f t="shared" ca="1" si="32"/>
        <v>25187.910071269325</v>
      </c>
      <c r="AR22" s="18">
        <f t="shared" ca="1" si="33"/>
        <v>24591.340646728113</v>
      </c>
      <c r="AS22" s="18">
        <f t="shared" ca="1" si="34"/>
        <v>25623.288496965444</v>
      </c>
      <c r="AT22" s="18">
        <f t="shared" ca="1" si="35"/>
        <v>25828.830407975354</v>
      </c>
      <c r="AU22" s="18">
        <f t="shared" ca="1" si="36"/>
        <v>22964.0590229921</v>
      </c>
      <c r="AV22" s="18">
        <f t="shared" ca="1" si="37"/>
        <v>23026.910499230718</v>
      </c>
      <c r="AW22" s="18">
        <f t="shared" ca="1" si="38"/>
        <v>23818.566390808544</v>
      </c>
      <c r="AX22" s="18">
        <f t="shared" ca="1" si="39"/>
        <v>25600.072550582092</v>
      </c>
      <c r="AY22" s="18">
        <f t="shared" ca="1" si="40"/>
        <v>24348.485896055307</v>
      </c>
      <c r="AZ22" s="18">
        <f t="shared" ca="1" si="41"/>
        <v>24497.6699351229</v>
      </c>
      <c r="BA22" s="18">
        <f t="shared" ca="1" si="42"/>
        <v>27312.885573551011</v>
      </c>
      <c r="BB22" s="18">
        <f t="shared" ca="1" si="43"/>
        <v>24472.112989805955</v>
      </c>
      <c r="BC22" s="18">
        <f t="shared" ca="1" si="44"/>
        <v>23446.090664600524</v>
      </c>
      <c r="BD22" s="18">
        <f t="shared" ca="1" si="45"/>
        <v>24956.588071753951</v>
      </c>
      <c r="BE22" s="18">
        <f t="shared" ca="1" si="46"/>
        <v>25227.312957601735</v>
      </c>
      <c r="BF22" s="18">
        <f t="shared" ca="1" si="47"/>
        <v>23872.116471034831</v>
      </c>
      <c r="BG22" s="18">
        <f t="shared" ca="1" si="48"/>
        <v>23305.714463750646</v>
      </c>
      <c r="BH22" s="18">
        <f t="shared" ca="1" si="49"/>
        <v>23306.231343366158</v>
      </c>
      <c r="BI22" s="18">
        <f t="shared" ca="1" si="50"/>
        <v>23773.369722490177</v>
      </c>
      <c r="BJ22" s="18">
        <f t="shared" ca="1" si="51"/>
        <v>24397.855556190523</v>
      </c>
      <c r="BK22" s="18">
        <f t="shared" ca="1" si="52"/>
        <v>24551.792697738038</v>
      </c>
      <c r="BL22" s="18">
        <f t="shared" ca="1" si="53"/>
        <v>23207.912076095356</v>
      </c>
      <c r="BM22" s="18">
        <f t="shared" ca="1" si="54"/>
        <v>22337.970468047057</v>
      </c>
      <c r="BN22" s="18">
        <f t="shared" ca="1" si="55"/>
        <v>22599.647712868929</v>
      </c>
      <c r="BO22" s="18">
        <f t="shared" ca="1" si="56"/>
        <v>22842.653952339308</v>
      </c>
      <c r="BP22" s="18">
        <f t="shared" ca="1" si="57"/>
        <v>23958.400297210137</v>
      </c>
      <c r="BQ22" s="18">
        <f t="shared" ca="1" si="58"/>
        <v>24478.96722363869</v>
      </c>
      <c r="BR22" s="18">
        <f t="shared" ca="1" si="59"/>
        <v>25395.566367006646</v>
      </c>
      <c r="BS22" s="18">
        <f t="shared" ca="1" si="60"/>
        <v>23334.872517291813</v>
      </c>
      <c r="BT22" s="18">
        <f t="shared" ca="1" si="61"/>
        <v>23638.707298273381</v>
      </c>
      <c r="BU22" s="18">
        <f t="shared" ca="1" si="62"/>
        <v>25185.807141987774</v>
      </c>
      <c r="BV22" s="18">
        <f t="shared" ca="1" si="63"/>
        <v>24613.970618236712</v>
      </c>
      <c r="BW22" s="18">
        <f t="shared" ca="1" si="64"/>
        <v>25017.299607476918</v>
      </c>
      <c r="BX22" s="18">
        <f t="shared" ca="1" si="65"/>
        <v>25136.789407223459</v>
      </c>
      <c r="BY22" s="18">
        <f t="shared" ca="1" si="66"/>
        <v>24219.865505204354</v>
      </c>
      <c r="BZ22" s="18">
        <f t="shared" ca="1" si="67"/>
        <v>22002.76151589099</v>
      </c>
      <c r="CA22" s="18">
        <f t="shared" ca="1" si="68"/>
        <v>25263.140121551231</v>
      </c>
      <c r="CB22" s="18">
        <f t="shared" ca="1" si="69"/>
        <v>23957.716713918875</v>
      </c>
      <c r="CC22" s="18">
        <f t="shared" ca="1" si="70"/>
        <v>23297.083586969497</v>
      </c>
      <c r="CD22" s="18">
        <f t="shared" ca="1" si="71"/>
        <v>24478.171952946701</v>
      </c>
      <c r="CE22" s="18">
        <f t="shared" ca="1" si="72"/>
        <v>25152.402421426748</v>
      </c>
      <c r="CF22" s="18">
        <f t="shared" ca="1" si="73"/>
        <v>24197.5560639828</v>
      </c>
      <c r="CG22" s="18">
        <f t="shared" ca="1" si="74"/>
        <v>24567.577153726936</v>
      </c>
      <c r="CH22" s="18">
        <f t="shared" ca="1" si="75"/>
        <v>23658.321704472342</v>
      </c>
      <c r="CI22" s="18">
        <f t="shared" ca="1" si="76"/>
        <v>22966.416086904403</v>
      </c>
      <c r="CJ22" s="18">
        <f t="shared" ca="1" si="77"/>
        <v>24326.36952291719</v>
      </c>
      <c r="CK22" s="18">
        <f t="shared" ca="1" si="78"/>
        <v>22726.568939078308</v>
      </c>
      <c r="CL22" s="18">
        <f t="shared" ca="1" si="79"/>
        <v>23366.834637865824</v>
      </c>
      <c r="CM22" s="18">
        <f t="shared" ca="1" si="80"/>
        <v>23522.339680254168</v>
      </c>
      <c r="CN22" s="18">
        <f t="shared" ca="1" si="81"/>
        <v>25255.63936962538</v>
      </c>
      <c r="CO22" s="18">
        <f t="shared" ca="1" si="82"/>
        <v>24928.361431580775</v>
      </c>
      <c r="CP22" s="18">
        <f t="shared" ca="1" si="83"/>
        <v>23885.412001581</v>
      </c>
      <c r="CQ22" s="18">
        <f t="shared" ca="1" si="84"/>
        <v>24667.363485644368</v>
      </c>
      <c r="CR22" s="18">
        <f t="shared" ca="1" si="85"/>
        <v>24305.306152191661</v>
      </c>
      <c r="CS22" s="18">
        <f t="shared" ca="1" si="86"/>
        <v>23726.672180573514</v>
      </c>
      <c r="CT22" s="18">
        <f t="shared" ca="1" si="87"/>
        <v>24640.680386956356</v>
      </c>
      <c r="CU22" s="18">
        <f t="shared" ca="1" si="88"/>
        <v>25921.817814115238</v>
      </c>
      <c r="CV22" s="18">
        <f t="shared" ca="1" si="89"/>
        <v>23917.421192064703</v>
      </c>
      <c r="CW22" s="18">
        <f t="shared" ca="1" si="90"/>
        <v>23896.860531408678</v>
      </c>
      <c r="CX22" s="18">
        <f t="shared" ca="1" si="91"/>
        <v>25923.264399122465</v>
      </c>
      <c r="CY22" s="18">
        <f t="shared" ca="1" si="92"/>
        <v>24387.66448410269</v>
      </c>
      <c r="CZ22" s="18">
        <f t="shared" ca="1" si="93"/>
        <v>22544.343098239679</v>
      </c>
      <c r="DA22" s="18">
        <f t="shared" ca="1" si="94"/>
        <v>23239.409368323028</v>
      </c>
      <c r="DB22" s="18">
        <f t="shared" ca="1" si="95"/>
        <v>23592.775981786959</v>
      </c>
      <c r="DC22" s="18">
        <f t="shared" ca="1" si="96"/>
        <v>23833.833463415442</v>
      </c>
      <c r="DD22" s="18">
        <f t="shared" ca="1" si="97"/>
        <v>23644.765680842567</v>
      </c>
      <c r="DE22" s="18">
        <f t="shared" ca="1" si="98"/>
        <v>25857.274396726811</v>
      </c>
    </row>
    <row r="23" spans="1:120" x14ac:dyDescent="0.35">
      <c r="A23" s="16">
        <v>44460</v>
      </c>
      <c r="B23" s="17">
        <v>17562</v>
      </c>
      <c r="C23" s="10"/>
      <c r="D23" s="19">
        <f t="shared" si="0"/>
        <v>9.4454475094025107E-3</v>
      </c>
      <c r="I23" s="13" t="s">
        <v>26</v>
      </c>
      <c r="J23" s="18">
        <f t="shared" ca="1" si="100"/>
        <v>24864.133149342939</v>
      </c>
      <c r="K23" s="18">
        <f t="shared" ca="1" si="100"/>
        <v>24056.97410394944</v>
      </c>
      <c r="L23" s="18">
        <f t="shared" ca="1" si="100"/>
        <v>23447.485604880567</v>
      </c>
      <c r="M23" s="18">
        <f t="shared" ca="1" si="2"/>
        <v>25014.492327070046</v>
      </c>
      <c r="N23" s="18">
        <f t="shared" ca="1" si="3"/>
        <v>24741.802891143678</v>
      </c>
      <c r="O23" s="18">
        <f t="shared" ca="1" si="4"/>
        <v>24821.815948236184</v>
      </c>
      <c r="P23" s="18">
        <f t="shared" ca="1" si="5"/>
        <v>22680.199579716631</v>
      </c>
      <c r="Q23" s="18">
        <f t="shared" ca="1" si="6"/>
        <v>25546.294532825323</v>
      </c>
      <c r="R23" s="18">
        <f t="shared" ca="1" si="7"/>
        <v>24949.297258458962</v>
      </c>
      <c r="S23" s="18">
        <f t="shared" ca="1" si="8"/>
        <v>24709.098094489393</v>
      </c>
      <c r="T23" s="18">
        <f t="shared" ca="1" si="9"/>
        <v>22909.426161305691</v>
      </c>
      <c r="U23" s="18">
        <f t="shared" ca="1" si="10"/>
        <v>24583.96850825426</v>
      </c>
      <c r="V23" s="18">
        <f t="shared" ca="1" si="11"/>
        <v>24432.583315063966</v>
      </c>
      <c r="W23" s="18">
        <f t="shared" ca="1" si="12"/>
        <v>23406.849803521036</v>
      </c>
      <c r="X23" s="18">
        <f t="shared" ca="1" si="13"/>
        <v>24834.353810720204</v>
      </c>
      <c r="Y23" s="18">
        <f t="shared" ca="1" si="14"/>
        <v>23548.060716394415</v>
      </c>
      <c r="Z23" s="18">
        <f t="shared" ca="1" si="15"/>
        <v>24221.37079005938</v>
      </c>
      <c r="AA23" s="18">
        <f t="shared" ca="1" si="16"/>
        <v>23279.969052017888</v>
      </c>
      <c r="AB23" s="18">
        <f t="shared" ca="1" si="17"/>
        <v>25326.594344092249</v>
      </c>
      <c r="AC23" s="18">
        <f t="shared" ca="1" si="18"/>
        <v>23658.840847219246</v>
      </c>
      <c r="AD23" s="18">
        <f t="shared" ca="1" si="19"/>
        <v>25360.587640528829</v>
      </c>
      <c r="AE23" s="18">
        <f t="shared" ca="1" si="20"/>
        <v>23881.81627750914</v>
      </c>
      <c r="AF23" s="18">
        <f t="shared" ca="1" si="21"/>
        <v>24116.370404018915</v>
      </c>
      <c r="AG23" s="18">
        <f t="shared" ca="1" si="22"/>
        <v>24626.55063023456</v>
      </c>
      <c r="AH23" s="18">
        <f t="shared" ca="1" si="23"/>
        <v>26521.392933453786</v>
      </c>
      <c r="AI23" s="18">
        <f t="shared" ca="1" si="24"/>
        <v>25171.55936452177</v>
      </c>
      <c r="AJ23" s="18">
        <f t="shared" ca="1" si="25"/>
        <v>22768.862806879399</v>
      </c>
      <c r="AK23" s="18">
        <f t="shared" ca="1" si="26"/>
        <v>23828.427434064546</v>
      </c>
      <c r="AL23" s="18">
        <f t="shared" ca="1" si="27"/>
        <v>23841.955682084874</v>
      </c>
      <c r="AM23" s="18">
        <f t="shared" ca="1" si="28"/>
        <v>23781.084146533925</v>
      </c>
      <c r="AN23" s="18">
        <f t="shared" ca="1" si="29"/>
        <v>23375.411115866664</v>
      </c>
      <c r="AO23" s="18">
        <f t="shared" ca="1" si="30"/>
        <v>24626.649336135113</v>
      </c>
      <c r="AP23" s="18">
        <f t="shared" ca="1" si="31"/>
        <v>23948.249308620008</v>
      </c>
      <c r="AQ23" s="18">
        <f t="shared" ca="1" si="32"/>
        <v>25127.539978683701</v>
      </c>
      <c r="AR23" s="18">
        <f t="shared" ca="1" si="33"/>
        <v>24797.74367607903</v>
      </c>
      <c r="AS23" s="18">
        <f t="shared" ca="1" si="34"/>
        <v>25588.043317064992</v>
      </c>
      <c r="AT23" s="18">
        <f t="shared" ca="1" si="35"/>
        <v>25856.67349982783</v>
      </c>
      <c r="AU23" s="18">
        <f t="shared" ca="1" si="36"/>
        <v>22703.022623132998</v>
      </c>
      <c r="AV23" s="18">
        <f t="shared" ca="1" si="37"/>
        <v>22876.139138305676</v>
      </c>
      <c r="AW23" s="18">
        <f t="shared" ca="1" si="38"/>
        <v>24123.224095699989</v>
      </c>
      <c r="AX23" s="18">
        <f t="shared" ca="1" si="39"/>
        <v>25770.606535961393</v>
      </c>
      <c r="AY23" s="18">
        <f t="shared" ca="1" si="40"/>
        <v>24272.845028366628</v>
      </c>
      <c r="AZ23" s="18">
        <f t="shared" ca="1" si="41"/>
        <v>24218.609377523248</v>
      </c>
      <c r="BA23" s="18">
        <f t="shared" ca="1" si="42"/>
        <v>27335.916968265738</v>
      </c>
      <c r="BB23" s="18">
        <f t="shared" ca="1" si="43"/>
        <v>24453.376879055773</v>
      </c>
      <c r="BC23" s="18">
        <f t="shared" ca="1" si="44"/>
        <v>23646.080692377469</v>
      </c>
      <c r="BD23" s="18">
        <f t="shared" ca="1" si="45"/>
        <v>24788.623074660329</v>
      </c>
      <c r="BE23" s="18">
        <f t="shared" ca="1" si="46"/>
        <v>25046.622326429457</v>
      </c>
      <c r="BF23" s="18">
        <f t="shared" ca="1" si="47"/>
        <v>23785.15248648568</v>
      </c>
      <c r="BG23" s="18">
        <f t="shared" ca="1" si="48"/>
        <v>23438.001575957252</v>
      </c>
      <c r="BH23" s="18">
        <f t="shared" ca="1" si="49"/>
        <v>23167.099550695773</v>
      </c>
      <c r="BI23" s="18">
        <f t="shared" ca="1" si="50"/>
        <v>23640.011601775877</v>
      </c>
      <c r="BJ23" s="18">
        <f t="shared" ca="1" si="51"/>
        <v>24807.821171970339</v>
      </c>
      <c r="BK23" s="18">
        <f t="shared" ca="1" si="52"/>
        <v>24685.071563672824</v>
      </c>
      <c r="BL23" s="18">
        <f t="shared" ca="1" si="53"/>
        <v>23131.460910367707</v>
      </c>
      <c r="BM23" s="18">
        <f t="shared" ca="1" si="54"/>
        <v>22471.904043387236</v>
      </c>
      <c r="BN23" s="18">
        <f t="shared" ca="1" si="55"/>
        <v>22631.409444810266</v>
      </c>
      <c r="BO23" s="18">
        <f t="shared" ca="1" si="56"/>
        <v>22976.70771932933</v>
      </c>
      <c r="BP23" s="18">
        <f t="shared" ca="1" si="57"/>
        <v>24314.506498474027</v>
      </c>
      <c r="BQ23" s="18">
        <f t="shared" ca="1" si="58"/>
        <v>24415.763397825172</v>
      </c>
      <c r="BR23" s="18">
        <f t="shared" ca="1" si="59"/>
        <v>25486.696723575427</v>
      </c>
      <c r="BS23" s="18">
        <f t="shared" ca="1" si="60"/>
        <v>23419.481713505764</v>
      </c>
      <c r="BT23" s="18">
        <f t="shared" ca="1" si="61"/>
        <v>23330.910143688096</v>
      </c>
      <c r="BU23" s="18">
        <f t="shared" ca="1" si="62"/>
        <v>25417.596248398811</v>
      </c>
      <c r="BV23" s="18">
        <f t="shared" ca="1" si="63"/>
        <v>24433.689419965929</v>
      </c>
      <c r="BW23" s="18">
        <f t="shared" ca="1" si="64"/>
        <v>25111.40479955119</v>
      </c>
      <c r="BX23" s="18">
        <f t="shared" ca="1" si="65"/>
        <v>25339.280401068412</v>
      </c>
      <c r="BY23" s="18">
        <f t="shared" ca="1" si="66"/>
        <v>24107.577798754304</v>
      </c>
      <c r="BZ23" s="18">
        <f t="shared" ca="1" si="67"/>
        <v>22224.788665012609</v>
      </c>
      <c r="CA23" s="18">
        <f t="shared" ca="1" si="68"/>
        <v>25391.816695511017</v>
      </c>
      <c r="CB23" s="18">
        <f t="shared" ca="1" si="69"/>
        <v>23958.560637728504</v>
      </c>
      <c r="CC23" s="18">
        <f t="shared" ca="1" si="70"/>
        <v>23366.458603186838</v>
      </c>
      <c r="CD23" s="18">
        <f t="shared" ca="1" si="71"/>
        <v>24115.305435896495</v>
      </c>
      <c r="CE23" s="18">
        <f t="shared" ca="1" si="72"/>
        <v>24769.062048534161</v>
      </c>
      <c r="CF23" s="18">
        <f t="shared" ca="1" si="73"/>
        <v>23957.175615965632</v>
      </c>
      <c r="CG23" s="18">
        <f t="shared" ca="1" si="74"/>
        <v>24698.680811464721</v>
      </c>
      <c r="CH23" s="18">
        <f t="shared" ca="1" si="75"/>
        <v>23497.364812937227</v>
      </c>
      <c r="CI23" s="18">
        <f t="shared" ca="1" si="76"/>
        <v>22943.541971045841</v>
      </c>
      <c r="CJ23" s="18">
        <f t="shared" ca="1" si="77"/>
        <v>24074.043219866031</v>
      </c>
      <c r="CK23" s="18">
        <f t="shared" ca="1" si="78"/>
        <v>22687.888518292439</v>
      </c>
      <c r="CL23" s="18">
        <f t="shared" ca="1" si="79"/>
        <v>23434.730129399533</v>
      </c>
      <c r="CM23" s="18">
        <f t="shared" ca="1" si="80"/>
        <v>23547.56854441838</v>
      </c>
      <c r="CN23" s="18">
        <f t="shared" ca="1" si="81"/>
        <v>25273.773329272091</v>
      </c>
      <c r="CO23" s="18">
        <f t="shared" ca="1" si="82"/>
        <v>24827.236327471743</v>
      </c>
      <c r="CP23" s="18">
        <f t="shared" ca="1" si="83"/>
        <v>23874.718602035486</v>
      </c>
      <c r="CQ23" s="18">
        <f t="shared" ca="1" si="84"/>
        <v>24511.963427139279</v>
      </c>
      <c r="CR23" s="18">
        <f t="shared" ca="1" si="85"/>
        <v>24292.165390141639</v>
      </c>
      <c r="CS23" s="18">
        <f t="shared" ca="1" si="86"/>
        <v>23659.352628150937</v>
      </c>
      <c r="CT23" s="18">
        <f t="shared" ca="1" si="87"/>
        <v>24540.069267813498</v>
      </c>
      <c r="CU23" s="18">
        <f t="shared" ca="1" si="88"/>
        <v>25705.944621171111</v>
      </c>
      <c r="CV23" s="18">
        <f t="shared" ca="1" si="89"/>
        <v>23983.827683676296</v>
      </c>
      <c r="CW23" s="18">
        <f t="shared" ca="1" si="90"/>
        <v>23573.504513789452</v>
      </c>
      <c r="CX23" s="18">
        <f t="shared" ca="1" si="91"/>
        <v>25893.606389880293</v>
      </c>
      <c r="CY23" s="18">
        <f t="shared" ca="1" si="92"/>
        <v>24759.498123347636</v>
      </c>
      <c r="CZ23" s="18">
        <f t="shared" ca="1" si="93"/>
        <v>22701.792079507755</v>
      </c>
      <c r="DA23" s="18">
        <f t="shared" ca="1" si="94"/>
        <v>23194.906560884014</v>
      </c>
      <c r="DB23" s="18">
        <f t="shared" ca="1" si="95"/>
        <v>23453.86471291168</v>
      </c>
      <c r="DC23" s="18">
        <f t="shared" ca="1" si="96"/>
        <v>23948.691408590443</v>
      </c>
      <c r="DD23" s="18">
        <f t="shared" ca="1" si="97"/>
        <v>23582.570923648436</v>
      </c>
      <c r="DE23" s="18">
        <f t="shared" ca="1" si="98"/>
        <v>26072.934362208103</v>
      </c>
    </row>
    <row r="24" spans="1:120" x14ac:dyDescent="0.35">
      <c r="A24" s="16">
        <v>44461</v>
      </c>
      <c r="B24" s="17">
        <v>17546.650000000001</v>
      </c>
      <c r="C24" s="10"/>
      <c r="D24" s="19">
        <f t="shared" si="0"/>
        <v>-8.744284373270665E-4</v>
      </c>
      <c r="I24" s="13" t="s">
        <v>27</v>
      </c>
      <c r="J24" s="18">
        <f t="shared" ca="1" si="100"/>
        <v>24429.541657496262</v>
      </c>
      <c r="K24" s="18">
        <f t="shared" ca="1" si="100"/>
        <v>23844.565773939819</v>
      </c>
      <c r="L24" s="18">
        <f t="shared" ca="1" si="100"/>
        <v>23686.478551566073</v>
      </c>
      <c r="M24" s="18">
        <f t="shared" ca="1" si="2"/>
        <v>24986.3758588624</v>
      </c>
      <c r="N24" s="18">
        <f t="shared" ca="1" si="3"/>
        <v>24401.487981785656</v>
      </c>
      <c r="O24" s="18">
        <f t="shared" ca="1" si="4"/>
        <v>24899.834027099281</v>
      </c>
      <c r="P24" s="18">
        <f t="shared" ca="1" si="5"/>
        <v>22627.315373644389</v>
      </c>
      <c r="Q24" s="18">
        <f t="shared" ca="1" si="6"/>
        <v>25814.45528420464</v>
      </c>
      <c r="R24" s="18">
        <f t="shared" ca="1" si="7"/>
        <v>25109.271102032708</v>
      </c>
      <c r="S24" s="18">
        <f t="shared" ca="1" si="8"/>
        <v>24820.177746643345</v>
      </c>
      <c r="T24" s="18">
        <f t="shared" ca="1" si="9"/>
        <v>23336.477025135457</v>
      </c>
      <c r="U24" s="18">
        <f t="shared" ca="1" si="10"/>
        <v>24765.907522886802</v>
      </c>
      <c r="V24" s="18">
        <f t="shared" ca="1" si="11"/>
        <v>24251.576945470639</v>
      </c>
      <c r="W24" s="18">
        <f t="shared" ca="1" si="12"/>
        <v>23646.828146756819</v>
      </c>
      <c r="X24" s="18">
        <f t="shared" ca="1" si="13"/>
        <v>24764.265232893427</v>
      </c>
      <c r="Y24" s="18">
        <f t="shared" ca="1" si="14"/>
        <v>23182.742140713312</v>
      </c>
      <c r="Z24" s="18">
        <f t="shared" ca="1" si="15"/>
        <v>23825.284780668582</v>
      </c>
      <c r="AA24" s="18">
        <f t="shared" ca="1" si="16"/>
        <v>23358.766631482951</v>
      </c>
      <c r="AB24" s="18">
        <f t="shared" ca="1" si="17"/>
        <v>25348.861877507363</v>
      </c>
      <c r="AC24" s="18">
        <f t="shared" ca="1" si="18"/>
        <v>23374.148461367338</v>
      </c>
      <c r="AD24" s="18">
        <f t="shared" ca="1" si="19"/>
        <v>25328.696213672774</v>
      </c>
      <c r="AE24" s="18">
        <f t="shared" ca="1" si="20"/>
        <v>23816.63568510949</v>
      </c>
      <c r="AF24" s="18">
        <f t="shared" ca="1" si="21"/>
        <v>24099.032920207843</v>
      </c>
      <c r="AG24" s="18">
        <f t="shared" ca="1" si="22"/>
        <v>24573.055651498045</v>
      </c>
      <c r="AH24" s="18">
        <f t="shared" ca="1" si="23"/>
        <v>26637.891814290022</v>
      </c>
      <c r="AI24" s="18">
        <f t="shared" ca="1" si="24"/>
        <v>25314.09358583032</v>
      </c>
      <c r="AJ24" s="18">
        <f t="shared" ca="1" si="25"/>
        <v>22741.758692807987</v>
      </c>
      <c r="AK24" s="18">
        <f t="shared" ca="1" si="26"/>
        <v>24502.759335327173</v>
      </c>
      <c r="AL24" s="18">
        <f t="shared" ca="1" si="27"/>
        <v>24210.381790868621</v>
      </c>
      <c r="AM24" s="18">
        <f t="shared" ca="1" si="28"/>
        <v>23651.168128940801</v>
      </c>
      <c r="AN24" s="18">
        <f t="shared" ca="1" si="29"/>
        <v>23566.971398802365</v>
      </c>
      <c r="AO24" s="18">
        <f t="shared" ca="1" si="30"/>
        <v>24667.892325296609</v>
      </c>
      <c r="AP24" s="18">
        <f t="shared" ca="1" si="31"/>
        <v>23855.770514806372</v>
      </c>
      <c r="AQ24" s="18">
        <f t="shared" ca="1" si="32"/>
        <v>24935.605592996621</v>
      </c>
      <c r="AR24" s="18">
        <f t="shared" ca="1" si="33"/>
        <v>24568.356822525464</v>
      </c>
      <c r="AS24" s="18">
        <f t="shared" ca="1" si="34"/>
        <v>25324.060600099398</v>
      </c>
      <c r="AT24" s="18">
        <f t="shared" ca="1" si="35"/>
        <v>25640.25935856366</v>
      </c>
      <c r="AU24" s="18">
        <f t="shared" ca="1" si="36"/>
        <v>22777.084359996938</v>
      </c>
      <c r="AV24" s="18">
        <f t="shared" ca="1" si="37"/>
        <v>22605.38622558198</v>
      </c>
      <c r="AW24" s="18">
        <f t="shared" ca="1" si="38"/>
        <v>23753.135375727441</v>
      </c>
      <c r="AX24" s="18">
        <f t="shared" ca="1" si="39"/>
        <v>25809.418666524962</v>
      </c>
      <c r="AY24" s="18">
        <f t="shared" ca="1" si="40"/>
        <v>23958.978141062795</v>
      </c>
      <c r="AZ24" s="18">
        <f t="shared" ca="1" si="41"/>
        <v>24527.507685714289</v>
      </c>
      <c r="BA24" s="18">
        <f t="shared" ca="1" si="42"/>
        <v>27689.814741169546</v>
      </c>
      <c r="BB24" s="18">
        <f t="shared" ca="1" si="43"/>
        <v>24448.039420566896</v>
      </c>
      <c r="BC24" s="18">
        <f t="shared" ca="1" si="44"/>
        <v>23748.876886761944</v>
      </c>
      <c r="BD24" s="18">
        <f t="shared" ca="1" si="45"/>
        <v>24017.448654953703</v>
      </c>
      <c r="BE24" s="18">
        <f t="shared" ca="1" si="46"/>
        <v>25287.985599517073</v>
      </c>
      <c r="BF24" s="18">
        <f t="shared" ca="1" si="47"/>
        <v>23903.15242510552</v>
      </c>
      <c r="BG24" s="18">
        <f t="shared" ca="1" si="48"/>
        <v>23676.247294351699</v>
      </c>
      <c r="BH24" s="18">
        <f t="shared" ca="1" si="49"/>
        <v>23022.645252854723</v>
      </c>
      <c r="BI24" s="18">
        <f t="shared" ca="1" si="50"/>
        <v>23440.895036630096</v>
      </c>
      <c r="BJ24" s="18">
        <f t="shared" ca="1" si="51"/>
        <v>24839.431775882651</v>
      </c>
      <c r="BK24" s="18">
        <f t="shared" ca="1" si="52"/>
        <v>24728.538599171596</v>
      </c>
      <c r="BL24" s="18">
        <f t="shared" ca="1" si="53"/>
        <v>23577.992550983297</v>
      </c>
      <c r="BM24" s="18">
        <f t="shared" ca="1" si="54"/>
        <v>22395.885969235762</v>
      </c>
      <c r="BN24" s="18">
        <f t="shared" ca="1" si="55"/>
        <v>22798.541897267522</v>
      </c>
      <c r="BO24" s="18">
        <f t="shared" ca="1" si="56"/>
        <v>22979.251178606519</v>
      </c>
      <c r="BP24" s="18">
        <f t="shared" ca="1" si="57"/>
        <v>24267.722643629389</v>
      </c>
      <c r="BQ24" s="18">
        <f t="shared" ca="1" si="58"/>
        <v>24391.527306490363</v>
      </c>
      <c r="BR24" s="18">
        <f t="shared" ca="1" si="59"/>
        <v>25343.516070230351</v>
      </c>
      <c r="BS24" s="18">
        <f t="shared" ca="1" si="60"/>
        <v>23351.689815138379</v>
      </c>
      <c r="BT24" s="18">
        <f t="shared" ca="1" si="61"/>
        <v>23172.968229235776</v>
      </c>
      <c r="BU24" s="18">
        <f t="shared" ca="1" si="62"/>
        <v>25223.627650143531</v>
      </c>
      <c r="BV24" s="18">
        <f t="shared" ca="1" si="63"/>
        <v>24150.184170590113</v>
      </c>
      <c r="BW24" s="18">
        <f t="shared" ca="1" si="64"/>
        <v>25386.664791621442</v>
      </c>
      <c r="BX24" s="18">
        <f t="shared" ca="1" si="65"/>
        <v>25197.253429387179</v>
      </c>
      <c r="BY24" s="18">
        <f t="shared" ca="1" si="66"/>
        <v>24335.312631210345</v>
      </c>
      <c r="BZ24" s="18">
        <f t="shared" ca="1" si="67"/>
        <v>22303.619633653216</v>
      </c>
      <c r="CA24" s="18">
        <f t="shared" ca="1" si="68"/>
        <v>25821.588292108081</v>
      </c>
      <c r="CB24" s="18">
        <f t="shared" ca="1" si="69"/>
        <v>23696.960680144974</v>
      </c>
      <c r="CC24" s="18">
        <f t="shared" ca="1" si="70"/>
        <v>23276.25498890565</v>
      </c>
      <c r="CD24" s="18">
        <f t="shared" ca="1" si="71"/>
        <v>23754.268544483348</v>
      </c>
      <c r="CE24" s="18">
        <f t="shared" ca="1" si="72"/>
        <v>24914.709699909901</v>
      </c>
      <c r="CF24" s="18">
        <f t="shared" ca="1" si="73"/>
        <v>24122.359982119888</v>
      </c>
      <c r="CG24" s="18">
        <f t="shared" ca="1" si="74"/>
        <v>24731.320329622606</v>
      </c>
      <c r="CH24" s="18">
        <f t="shared" ca="1" si="75"/>
        <v>23609.976220036526</v>
      </c>
      <c r="CI24" s="18">
        <f t="shared" ca="1" si="76"/>
        <v>23321.166160765944</v>
      </c>
      <c r="CJ24" s="18">
        <f t="shared" ca="1" si="77"/>
        <v>24182.784057494766</v>
      </c>
      <c r="CK24" s="18">
        <f t="shared" ca="1" si="78"/>
        <v>22681.299652219968</v>
      </c>
      <c r="CL24" s="18">
        <f t="shared" ca="1" si="79"/>
        <v>23364.620780014873</v>
      </c>
      <c r="CM24" s="18">
        <f t="shared" ca="1" si="80"/>
        <v>23454.946264702936</v>
      </c>
      <c r="CN24" s="18">
        <f t="shared" ca="1" si="81"/>
        <v>25095.684834980417</v>
      </c>
      <c r="CO24" s="18">
        <f t="shared" ca="1" si="82"/>
        <v>25194.602772063514</v>
      </c>
      <c r="CP24" s="18">
        <f t="shared" ca="1" si="83"/>
        <v>23796.718167460134</v>
      </c>
      <c r="CQ24" s="18">
        <f t="shared" ca="1" si="84"/>
        <v>24280.150002727332</v>
      </c>
      <c r="CR24" s="18">
        <f t="shared" ca="1" si="85"/>
        <v>24288.003730912089</v>
      </c>
      <c r="CS24" s="18">
        <f t="shared" ca="1" si="86"/>
        <v>23585.95611698127</v>
      </c>
      <c r="CT24" s="18">
        <f t="shared" ca="1" si="87"/>
        <v>24168.724901302805</v>
      </c>
      <c r="CU24" s="18">
        <f t="shared" ca="1" si="88"/>
        <v>25641.863764457339</v>
      </c>
      <c r="CV24" s="18">
        <f t="shared" ca="1" si="89"/>
        <v>23933.350285842789</v>
      </c>
      <c r="CW24" s="18">
        <f t="shared" ca="1" si="90"/>
        <v>23788.189116907117</v>
      </c>
      <c r="CX24" s="18">
        <f t="shared" ca="1" si="91"/>
        <v>25881.742732224215</v>
      </c>
      <c r="CY24" s="18">
        <f t="shared" ca="1" si="92"/>
        <v>24465.990556281948</v>
      </c>
      <c r="CZ24" s="18">
        <f t="shared" ca="1" si="93"/>
        <v>22814.672374555681</v>
      </c>
      <c r="DA24" s="18">
        <f t="shared" ca="1" si="94"/>
        <v>23082.938371367793</v>
      </c>
      <c r="DB24" s="18">
        <f t="shared" ca="1" si="95"/>
        <v>23475.049402084827</v>
      </c>
      <c r="DC24" s="18">
        <f t="shared" ca="1" si="96"/>
        <v>23731.227651551468</v>
      </c>
      <c r="DD24" s="18">
        <f t="shared" ca="1" si="97"/>
        <v>23517.934342187586</v>
      </c>
      <c r="DE24" s="18">
        <f t="shared" ca="1" si="98"/>
        <v>25806.898716632633</v>
      </c>
    </row>
    <row r="25" spans="1:120" x14ac:dyDescent="0.35">
      <c r="A25" s="16">
        <v>44462</v>
      </c>
      <c r="B25" s="17">
        <v>17822.95</v>
      </c>
      <c r="C25" s="10"/>
      <c r="D25" s="19">
        <f t="shared" si="0"/>
        <v>1.5623904173446654E-2</v>
      </c>
    </row>
    <row r="26" spans="1:120" x14ac:dyDescent="0.35">
      <c r="A26" s="16">
        <v>44463</v>
      </c>
      <c r="B26" s="17">
        <v>17853.2</v>
      </c>
      <c r="C26" s="10"/>
      <c r="D26" s="19">
        <f t="shared" si="0"/>
        <v>1.6958111931557232E-3</v>
      </c>
      <c r="I26" s="13" t="s">
        <v>157</v>
      </c>
      <c r="J26" s="18">
        <f ca="1">MAX(J24-$DH$4,0)</f>
        <v>229.54165749626191</v>
      </c>
      <c r="K26" s="18">
        <f t="shared" ref="K26:BV26" ca="1" si="101">MAX(K24-$DH$4,0)</f>
        <v>0</v>
      </c>
      <c r="L26" s="18">
        <f t="shared" ca="1" si="101"/>
        <v>0</v>
      </c>
      <c r="M26" s="18">
        <f t="shared" ca="1" si="101"/>
        <v>786.37585886240049</v>
      </c>
      <c r="N26" s="18">
        <f t="shared" ca="1" si="101"/>
        <v>201.4879817856563</v>
      </c>
      <c r="O26" s="18">
        <f t="shared" ca="1" si="101"/>
        <v>699.83402709928123</v>
      </c>
      <c r="P26" s="18">
        <f t="shared" ca="1" si="101"/>
        <v>0</v>
      </c>
      <c r="Q26" s="18">
        <f t="shared" ca="1" si="101"/>
        <v>1614.4552842046396</v>
      </c>
      <c r="R26" s="18">
        <f t="shared" ca="1" si="101"/>
        <v>909.27110203270786</v>
      </c>
      <c r="S26" s="18">
        <f t="shared" ca="1" si="101"/>
        <v>620.17774664334502</v>
      </c>
      <c r="T26" s="18">
        <f t="shared" ca="1" si="101"/>
        <v>0</v>
      </c>
      <c r="U26" s="18">
        <f t="shared" ca="1" si="101"/>
        <v>565.90752288680233</v>
      </c>
      <c r="V26" s="18">
        <f t="shared" ca="1" si="101"/>
        <v>51.576945470638748</v>
      </c>
      <c r="W26" s="18">
        <f t="shared" ca="1" si="101"/>
        <v>0</v>
      </c>
      <c r="X26" s="18">
        <f t="shared" ca="1" si="101"/>
        <v>564.26523289342731</v>
      </c>
      <c r="Y26" s="18">
        <f t="shared" ca="1" si="101"/>
        <v>0</v>
      </c>
      <c r="Z26" s="18">
        <f t="shared" ca="1" si="101"/>
        <v>0</v>
      </c>
      <c r="AA26" s="18">
        <f t="shared" ca="1" si="101"/>
        <v>0</v>
      </c>
      <c r="AB26" s="18">
        <f t="shared" ca="1" si="101"/>
        <v>1148.8618775073628</v>
      </c>
      <c r="AC26" s="18">
        <f t="shared" ca="1" si="101"/>
        <v>0</v>
      </c>
      <c r="AD26" s="18">
        <f t="shared" ca="1" si="101"/>
        <v>1128.6962136727743</v>
      </c>
      <c r="AE26" s="18">
        <f t="shared" ca="1" si="101"/>
        <v>0</v>
      </c>
      <c r="AF26" s="18">
        <f t="shared" ca="1" si="101"/>
        <v>0</v>
      </c>
      <c r="AG26" s="18">
        <f t="shared" ca="1" si="101"/>
        <v>373.05565149804534</v>
      </c>
      <c r="AH26" s="18">
        <f t="shared" ca="1" si="101"/>
        <v>2437.891814290022</v>
      </c>
      <c r="AI26" s="18">
        <f t="shared" ca="1" si="101"/>
        <v>1114.0935858303201</v>
      </c>
      <c r="AJ26" s="18">
        <f t="shared" ca="1" si="101"/>
        <v>0</v>
      </c>
      <c r="AK26" s="18">
        <f t="shared" ca="1" si="101"/>
        <v>302.75933532717318</v>
      </c>
      <c r="AL26" s="18">
        <f t="shared" ca="1" si="101"/>
        <v>10.381790868621465</v>
      </c>
      <c r="AM26" s="18">
        <f t="shared" ca="1" si="101"/>
        <v>0</v>
      </c>
      <c r="AN26" s="18">
        <f t="shared" ca="1" si="101"/>
        <v>0</v>
      </c>
      <c r="AO26" s="18">
        <f t="shared" ca="1" si="101"/>
        <v>467.89232529660876</v>
      </c>
      <c r="AP26" s="18">
        <f t="shared" ca="1" si="101"/>
        <v>0</v>
      </c>
      <c r="AQ26" s="18">
        <f t="shared" ca="1" si="101"/>
        <v>735.60559299662054</v>
      </c>
      <c r="AR26" s="18">
        <f t="shared" ca="1" si="101"/>
        <v>368.35682252546394</v>
      </c>
      <c r="AS26" s="18">
        <f t="shared" ca="1" si="101"/>
        <v>1124.0606000993976</v>
      </c>
      <c r="AT26" s="18">
        <f t="shared" ca="1" si="101"/>
        <v>1440.2593585636605</v>
      </c>
      <c r="AU26" s="18">
        <f t="shared" ca="1" si="101"/>
        <v>0</v>
      </c>
      <c r="AV26" s="18">
        <f t="shared" ca="1" si="101"/>
        <v>0</v>
      </c>
      <c r="AW26" s="18">
        <f t="shared" ca="1" si="101"/>
        <v>0</v>
      </c>
      <c r="AX26" s="18">
        <f t="shared" ca="1" si="101"/>
        <v>1609.4186665249617</v>
      </c>
      <c r="AY26" s="18">
        <f t="shared" ca="1" si="101"/>
        <v>0</v>
      </c>
      <c r="AZ26" s="18">
        <f t="shared" ca="1" si="101"/>
        <v>327.50768571428853</v>
      </c>
      <c r="BA26" s="18">
        <f t="shared" ca="1" si="101"/>
        <v>3489.8147411695463</v>
      </c>
      <c r="BB26" s="18">
        <f t="shared" ca="1" si="101"/>
        <v>248.0394205668963</v>
      </c>
      <c r="BC26" s="18">
        <f t="shared" ca="1" si="101"/>
        <v>0</v>
      </c>
      <c r="BD26" s="18">
        <f t="shared" ca="1" si="101"/>
        <v>0</v>
      </c>
      <c r="BE26" s="18">
        <f t="shared" ca="1" si="101"/>
        <v>1087.9855995170728</v>
      </c>
      <c r="BF26" s="18">
        <f t="shared" ca="1" si="101"/>
        <v>0</v>
      </c>
      <c r="BG26" s="18">
        <f t="shared" ca="1" si="101"/>
        <v>0</v>
      </c>
      <c r="BH26" s="18">
        <f t="shared" ca="1" si="101"/>
        <v>0</v>
      </c>
      <c r="BI26" s="18">
        <f t="shared" ca="1" si="101"/>
        <v>0</v>
      </c>
      <c r="BJ26" s="18">
        <f t="shared" ca="1" si="101"/>
        <v>639.43177588265098</v>
      </c>
      <c r="BK26" s="18">
        <f t="shared" ca="1" si="101"/>
        <v>528.53859917159571</v>
      </c>
      <c r="BL26" s="18">
        <f t="shared" ca="1" si="101"/>
        <v>0</v>
      </c>
      <c r="BM26" s="18">
        <f t="shared" ca="1" si="101"/>
        <v>0</v>
      </c>
      <c r="BN26" s="18">
        <f t="shared" ca="1" si="101"/>
        <v>0</v>
      </c>
      <c r="BO26" s="18">
        <f t="shared" ca="1" si="101"/>
        <v>0</v>
      </c>
      <c r="BP26" s="18">
        <f t="shared" ca="1" si="101"/>
        <v>67.722643629389495</v>
      </c>
      <c r="BQ26" s="18">
        <f t="shared" ca="1" si="101"/>
        <v>191.52730649036312</v>
      </c>
      <c r="BR26" s="18">
        <f t="shared" ca="1" si="101"/>
        <v>1143.516070230351</v>
      </c>
      <c r="BS26" s="18">
        <f t="shared" ca="1" si="101"/>
        <v>0</v>
      </c>
      <c r="BT26" s="18">
        <f t="shared" ca="1" si="101"/>
        <v>0</v>
      </c>
      <c r="BU26" s="18">
        <f t="shared" ca="1" si="101"/>
        <v>1023.6276501435314</v>
      </c>
      <c r="BV26" s="18">
        <f t="shared" ca="1" si="101"/>
        <v>0</v>
      </c>
      <c r="BW26" s="18">
        <f t="shared" ref="BW26:DE26" ca="1" si="102">MAX(BW24-$DH$4,0)</f>
        <v>1186.6647916214424</v>
      </c>
      <c r="BX26" s="18">
        <f t="shared" ca="1" si="102"/>
        <v>997.25342938717949</v>
      </c>
      <c r="BY26" s="18">
        <f t="shared" ca="1" si="102"/>
        <v>135.31263121034499</v>
      </c>
      <c r="BZ26" s="18">
        <f t="shared" ca="1" si="102"/>
        <v>0</v>
      </c>
      <c r="CA26" s="18">
        <f t="shared" ca="1" si="102"/>
        <v>1621.5882921080811</v>
      </c>
      <c r="CB26" s="18">
        <f t="shared" ca="1" si="102"/>
        <v>0</v>
      </c>
      <c r="CC26" s="18">
        <f t="shared" ca="1" si="102"/>
        <v>0</v>
      </c>
      <c r="CD26" s="18">
        <f t="shared" ca="1" si="102"/>
        <v>0</v>
      </c>
      <c r="CE26" s="18">
        <f t="shared" ca="1" si="102"/>
        <v>714.70969990990125</v>
      </c>
      <c r="CF26" s="18">
        <f t="shared" ca="1" si="102"/>
        <v>0</v>
      </c>
      <c r="CG26" s="18">
        <f t="shared" ca="1" si="102"/>
        <v>531.32032962260564</v>
      </c>
      <c r="CH26" s="18">
        <f t="shared" ca="1" si="102"/>
        <v>0</v>
      </c>
      <c r="CI26" s="18">
        <f t="shared" ca="1" si="102"/>
        <v>0</v>
      </c>
      <c r="CJ26" s="18">
        <f t="shared" ca="1" si="102"/>
        <v>0</v>
      </c>
      <c r="CK26" s="18">
        <f t="shared" ca="1" si="102"/>
        <v>0</v>
      </c>
      <c r="CL26" s="18">
        <f t="shared" ca="1" si="102"/>
        <v>0</v>
      </c>
      <c r="CM26" s="18">
        <f t="shared" ca="1" si="102"/>
        <v>0</v>
      </c>
      <c r="CN26" s="18">
        <f t="shared" ca="1" si="102"/>
        <v>895.68483498041678</v>
      </c>
      <c r="CO26" s="18">
        <f t="shared" ca="1" si="102"/>
        <v>994.60277206351384</v>
      </c>
      <c r="CP26" s="18">
        <f t="shared" ca="1" si="102"/>
        <v>0</v>
      </c>
      <c r="CQ26" s="18">
        <f t="shared" ca="1" si="102"/>
        <v>80.150002727332321</v>
      </c>
      <c r="CR26" s="18">
        <f t="shared" ca="1" si="102"/>
        <v>88.00373091208894</v>
      </c>
      <c r="CS26" s="18">
        <f t="shared" ca="1" si="102"/>
        <v>0</v>
      </c>
      <c r="CT26" s="18">
        <f t="shared" ca="1" si="102"/>
        <v>0</v>
      </c>
      <c r="CU26" s="18">
        <f t="shared" ca="1" si="102"/>
        <v>1441.8637644573391</v>
      </c>
      <c r="CV26" s="18">
        <f t="shared" ca="1" si="102"/>
        <v>0</v>
      </c>
      <c r="CW26" s="18">
        <f t="shared" ca="1" si="102"/>
        <v>0</v>
      </c>
      <c r="CX26" s="18">
        <f t="shared" ca="1" si="102"/>
        <v>1681.7427322242147</v>
      </c>
      <c r="CY26" s="18">
        <f t="shared" ca="1" si="102"/>
        <v>265.99055628194765</v>
      </c>
      <c r="CZ26" s="18">
        <f t="shared" ca="1" si="102"/>
        <v>0</v>
      </c>
      <c r="DA26" s="18">
        <f t="shared" ca="1" si="102"/>
        <v>0</v>
      </c>
      <c r="DB26" s="18">
        <f t="shared" ca="1" si="102"/>
        <v>0</v>
      </c>
      <c r="DC26" s="18">
        <f t="shared" ca="1" si="102"/>
        <v>0</v>
      </c>
      <c r="DD26" s="18">
        <f t="shared" ca="1" si="102"/>
        <v>0</v>
      </c>
      <c r="DE26" s="18">
        <f t="shared" ca="1" si="102"/>
        <v>1606.8987166326333</v>
      </c>
      <c r="DG26" s="36" t="s">
        <v>159</v>
      </c>
      <c r="DH26" s="36"/>
      <c r="DM26" s="36" t="s">
        <v>158</v>
      </c>
      <c r="DN26" s="36"/>
    </row>
    <row r="27" spans="1:120" x14ac:dyDescent="0.35">
      <c r="A27" s="16">
        <v>44466</v>
      </c>
      <c r="B27" s="17">
        <v>17855.099999999999</v>
      </c>
      <c r="C27" s="10"/>
      <c r="D27" s="19">
        <f t="shared" si="0"/>
        <v>1.0641783572961581E-4</v>
      </c>
      <c r="I27" s="13" t="s">
        <v>148</v>
      </c>
      <c r="J27" s="18">
        <f ca="1">J26*EXP(-$DH$5*$DH$7)</f>
        <v>228.5536104113562</v>
      </c>
      <c r="K27" s="18">
        <f t="shared" ref="K27:BV27" ca="1" si="103">K26*EXP(-$DH$5*$DH$7)</f>
        <v>0</v>
      </c>
      <c r="L27" s="18">
        <f t="shared" ca="1" si="103"/>
        <v>0</v>
      </c>
      <c r="M27" s="18">
        <f t="shared" ca="1" si="103"/>
        <v>782.99095529646775</v>
      </c>
      <c r="N27" s="18">
        <f t="shared" ca="1" si="103"/>
        <v>200.62068991707645</v>
      </c>
      <c r="O27" s="18">
        <f t="shared" ca="1" si="103"/>
        <v>696.82163720049118</v>
      </c>
      <c r="P27" s="18">
        <f t="shared" ca="1" si="103"/>
        <v>0</v>
      </c>
      <c r="Q27" s="18">
        <f t="shared" ca="1" si="103"/>
        <v>1607.5059667924179</v>
      </c>
      <c r="R27" s="18">
        <f t="shared" ca="1" si="103"/>
        <v>905.35720391263771</v>
      </c>
      <c r="S27" s="18">
        <f t="shared" ca="1" si="103"/>
        <v>617.50823200544403</v>
      </c>
      <c r="T27" s="18">
        <f t="shared" ca="1" si="103"/>
        <v>0</v>
      </c>
      <c r="U27" s="18">
        <f t="shared" ca="1" si="103"/>
        <v>563.47161088541054</v>
      </c>
      <c r="V27" s="18">
        <f t="shared" ca="1" si="103"/>
        <v>51.354935874749017</v>
      </c>
      <c r="W27" s="18">
        <f t="shared" ca="1" si="103"/>
        <v>0</v>
      </c>
      <c r="X27" s="18">
        <f t="shared" ca="1" si="103"/>
        <v>561.83639002213692</v>
      </c>
      <c r="Y27" s="18">
        <f t="shared" ca="1" si="103"/>
        <v>0</v>
      </c>
      <c r="Z27" s="18">
        <f t="shared" ca="1" si="103"/>
        <v>0</v>
      </c>
      <c r="AA27" s="18">
        <f t="shared" ca="1" si="103"/>
        <v>0</v>
      </c>
      <c r="AB27" s="18">
        <f t="shared" ca="1" si="103"/>
        <v>1143.9166765298501</v>
      </c>
      <c r="AC27" s="18">
        <f t="shared" ca="1" si="103"/>
        <v>0</v>
      </c>
      <c r="AD27" s="18">
        <f t="shared" ca="1" si="103"/>
        <v>1123.8378144792352</v>
      </c>
      <c r="AE27" s="18">
        <f t="shared" ca="1" si="103"/>
        <v>0</v>
      </c>
      <c r="AF27" s="18">
        <f t="shared" ca="1" si="103"/>
        <v>0</v>
      </c>
      <c r="AG27" s="18">
        <f t="shared" ca="1" si="103"/>
        <v>371.44985779161868</v>
      </c>
      <c r="AH27" s="18">
        <f t="shared" ca="1" si="103"/>
        <v>2427.3980680711516</v>
      </c>
      <c r="AI27" s="18">
        <f t="shared" ca="1" si="103"/>
        <v>1109.2980426953677</v>
      </c>
      <c r="AJ27" s="18">
        <f t="shared" ca="1" si="103"/>
        <v>0</v>
      </c>
      <c r="AK27" s="18">
        <f t="shared" ca="1" si="103"/>
        <v>301.45612752619758</v>
      </c>
      <c r="AL27" s="18">
        <f t="shared" ca="1" si="103"/>
        <v>10.33710312733856</v>
      </c>
      <c r="AM27" s="18">
        <f t="shared" ca="1" si="103"/>
        <v>0</v>
      </c>
      <c r="AN27" s="18">
        <f t="shared" ca="1" si="103"/>
        <v>0</v>
      </c>
      <c r="AO27" s="18">
        <f t="shared" ca="1" si="103"/>
        <v>465.87831331681554</v>
      </c>
      <c r="AP27" s="18">
        <f t="shared" ca="1" si="103"/>
        <v>0</v>
      </c>
      <c r="AQ27" s="18">
        <f t="shared" ca="1" si="103"/>
        <v>732.43922672686199</v>
      </c>
      <c r="AR27" s="18">
        <f t="shared" ca="1" si="103"/>
        <v>366.7712546217063</v>
      </c>
      <c r="AS27" s="18">
        <f t="shared" ca="1" si="103"/>
        <v>1119.2221546019668</v>
      </c>
      <c r="AT27" s="18">
        <f t="shared" ca="1" si="103"/>
        <v>1434.0598561454115</v>
      </c>
      <c r="AU27" s="18">
        <f t="shared" ca="1" si="103"/>
        <v>0</v>
      </c>
      <c r="AV27" s="18">
        <f t="shared" ca="1" si="103"/>
        <v>0</v>
      </c>
      <c r="AW27" s="18">
        <f t="shared" ca="1" si="103"/>
        <v>0</v>
      </c>
      <c r="AX27" s="18">
        <f t="shared" ca="1" si="103"/>
        <v>1602.4910289048548</v>
      </c>
      <c r="AY27" s="18">
        <f t="shared" ca="1" si="103"/>
        <v>0</v>
      </c>
      <c r="AZ27" s="18">
        <f t="shared" ca="1" si="103"/>
        <v>326.09795025413797</v>
      </c>
      <c r="BA27" s="18">
        <f t="shared" ca="1" si="103"/>
        <v>3474.7930613599474</v>
      </c>
      <c r="BB27" s="18">
        <f t="shared" ca="1" si="103"/>
        <v>246.9717510680089</v>
      </c>
      <c r="BC27" s="18">
        <f t="shared" ca="1" si="103"/>
        <v>0</v>
      </c>
      <c r="BD27" s="18">
        <f t="shared" ca="1" si="103"/>
        <v>0</v>
      </c>
      <c r="BE27" s="18">
        <f t="shared" ca="1" si="103"/>
        <v>1083.3024365054102</v>
      </c>
      <c r="BF27" s="18">
        <f t="shared" ca="1" si="103"/>
        <v>0</v>
      </c>
      <c r="BG27" s="18">
        <f t="shared" ca="1" si="103"/>
        <v>0</v>
      </c>
      <c r="BH27" s="18">
        <f t="shared" ca="1" si="103"/>
        <v>0</v>
      </c>
      <c r="BI27" s="18">
        <f t="shared" ca="1" si="103"/>
        <v>0</v>
      </c>
      <c r="BJ27" s="18">
        <f t="shared" ca="1" si="103"/>
        <v>636.67938353239879</v>
      </c>
      <c r="BK27" s="18">
        <f t="shared" ca="1" si="103"/>
        <v>526.26353926365664</v>
      </c>
      <c r="BL27" s="18">
        <f t="shared" ca="1" si="103"/>
        <v>0</v>
      </c>
      <c r="BM27" s="18">
        <f t="shared" ca="1" si="103"/>
        <v>0</v>
      </c>
      <c r="BN27" s="18">
        <f t="shared" ca="1" si="103"/>
        <v>0</v>
      </c>
      <c r="BO27" s="18">
        <f t="shared" ca="1" si="103"/>
        <v>0</v>
      </c>
      <c r="BP27" s="18">
        <f t="shared" ca="1" si="103"/>
        <v>67.431135929436536</v>
      </c>
      <c r="BQ27" s="18">
        <f t="shared" ca="1" si="103"/>
        <v>190.70288969856259</v>
      </c>
      <c r="BR27" s="18">
        <f t="shared" ca="1" si="103"/>
        <v>1138.5938799313972</v>
      </c>
      <c r="BS27" s="18">
        <f t="shared" ca="1" si="103"/>
        <v>0</v>
      </c>
      <c r="BT27" s="18">
        <f t="shared" ca="1" si="103"/>
        <v>0</v>
      </c>
      <c r="BU27" s="18">
        <f t="shared" ca="1" si="103"/>
        <v>1019.2215117249759</v>
      </c>
      <c r="BV27" s="18">
        <f t="shared" ca="1" si="103"/>
        <v>0</v>
      </c>
      <c r="BW27" s="18">
        <f t="shared" ref="BW27:DE27" ca="1" si="104">BW26*EXP(-$DH$5*$DH$7)</f>
        <v>1181.5568704671271</v>
      </c>
      <c r="BX27" s="18">
        <f t="shared" ca="1" si="104"/>
        <v>992.96081708069983</v>
      </c>
      <c r="BY27" s="18">
        <f t="shared" ca="1" si="104"/>
        <v>134.73018681974247</v>
      </c>
      <c r="BZ27" s="18">
        <f t="shared" ca="1" si="104"/>
        <v>0</v>
      </c>
      <c r="CA27" s="18">
        <f t="shared" ca="1" si="104"/>
        <v>1614.6082711288361</v>
      </c>
      <c r="CB27" s="18">
        <f t="shared" ca="1" si="104"/>
        <v>0</v>
      </c>
      <c r="CC27" s="18">
        <f t="shared" ca="1" si="104"/>
        <v>0</v>
      </c>
      <c r="CD27" s="18">
        <f t="shared" ca="1" si="104"/>
        <v>0</v>
      </c>
      <c r="CE27" s="18">
        <f t="shared" ca="1" si="104"/>
        <v>711.63327864827772</v>
      </c>
      <c r="CF27" s="18">
        <f t="shared" ca="1" si="104"/>
        <v>0</v>
      </c>
      <c r="CG27" s="18">
        <f t="shared" ca="1" si="104"/>
        <v>529.03329593747469</v>
      </c>
      <c r="CH27" s="18">
        <f t="shared" ca="1" si="104"/>
        <v>0</v>
      </c>
      <c r="CI27" s="18">
        <f t="shared" ca="1" si="104"/>
        <v>0</v>
      </c>
      <c r="CJ27" s="18">
        <f t="shared" ca="1" si="104"/>
        <v>0</v>
      </c>
      <c r="CK27" s="18">
        <f t="shared" ca="1" si="104"/>
        <v>0</v>
      </c>
      <c r="CL27" s="18">
        <f t="shared" ca="1" si="104"/>
        <v>0</v>
      </c>
      <c r="CM27" s="18">
        <f t="shared" ca="1" si="104"/>
        <v>0</v>
      </c>
      <c r="CN27" s="18">
        <f t="shared" ca="1" si="104"/>
        <v>891.8294180602395</v>
      </c>
      <c r="CO27" s="18">
        <f t="shared" ca="1" si="104"/>
        <v>990.32156933850308</v>
      </c>
      <c r="CP27" s="18">
        <f t="shared" ca="1" si="104"/>
        <v>0</v>
      </c>
      <c r="CQ27" s="18">
        <f t="shared" ca="1" si="104"/>
        <v>79.805002271146222</v>
      </c>
      <c r="CR27" s="18">
        <f t="shared" ca="1" si="104"/>
        <v>87.624924595462375</v>
      </c>
      <c r="CS27" s="18">
        <f t="shared" ca="1" si="104"/>
        <v>0</v>
      </c>
      <c r="CT27" s="18">
        <f t="shared" ca="1" si="104"/>
        <v>0</v>
      </c>
      <c r="CU27" s="18">
        <f t="shared" ca="1" si="104"/>
        <v>1435.6573559786236</v>
      </c>
      <c r="CV27" s="18">
        <f t="shared" ca="1" si="104"/>
        <v>0</v>
      </c>
      <c r="CW27" s="18">
        <f t="shared" ca="1" si="104"/>
        <v>0</v>
      </c>
      <c r="CX27" s="18">
        <f t="shared" ca="1" si="104"/>
        <v>1674.5037803831419</v>
      </c>
      <c r="CY27" s="18">
        <f t="shared" ca="1" si="104"/>
        <v>264.845617290858</v>
      </c>
      <c r="CZ27" s="18">
        <f t="shared" ca="1" si="104"/>
        <v>0</v>
      </c>
      <c r="DA27" s="18">
        <f t="shared" ca="1" si="104"/>
        <v>0</v>
      </c>
      <c r="DB27" s="18">
        <f t="shared" ca="1" si="104"/>
        <v>0</v>
      </c>
      <c r="DC27" s="18">
        <f t="shared" ca="1" si="104"/>
        <v>0</v>
      </c>
      <c r="DD27" s="18">
        <f t="shared" ca="1" si="104"/>
        <v>0</v>
      </c>
      <c r="DE27" s="18">
        <f t="shared" ca="1" si="104"/>
        <v>1599.9819259723872</v>
      </c>
      <c r="DG27" s="28" t="s">
        <v>149</v>
      </c>
      <c r="DH27" s="27">
        <f ca="1">AVERAGE(J27:DE27)</f>
        <v>393.23726610097032</v>
      </c>
      <c r="DI27" s="31">
        <v>0.97499999999999998</v>
      </c>
      <c r="DJ27" s="29">
        <f>_xlfn.NORM.S.INV(DI27)</f>
        <v>1.9599639845400536</v>
      </c>
      <c r="DM27" s="28" t="s">
        <v>149</v>
      </c>
      <c r="DN27" s="27">
        <f ca="1">AVERAGE(J30:DE30)</f>
        <v>388.24833191946266</v>
      </c>
      <c r="DO27" s="31">
        <v>0.97499999999999998</v>
      </c>
      <c r="DP27" s="29">
        <f>_xlfn.NORM.S.INV(DO27)</f>
        <v>1.9599639845400536</v>
      </c>
    </row>
    <row r="28" spans="1:120" x14ac:dyDescent="0.35">
      <c r="A28" s="16">
        <v>44467</v>
      </c>
      <c r="B28" s="17">
        <v>17748.599999999999</v>
      </c>
      <c r="C28" s="10"/>
      <c r="D28" s="19">
        <f t="shared" si="0"/>
        <v>-5.982542131478065E-3</v>
      </c>
      <c r="I28" s="13"/>
      <c r="DG28" s="15" t="s">
        <v>136</v>
      </c>
      <c r="DH28" s="15">
        <f ca="1">_xlfn.STDEV.S(J27:DE27)</f>
        <v>622.71160271033841</v>
      </c>
      <c r="DI28" s="20" t="s">
        <v>150</v>
      </c>
      <c r="DJ28" s="32">
        <f ca="1">DH27-DJ27*DH29</f>
        <v>271.18803469422255</v>
      </c>
      <c r="DM28" s="15" t="s">
        <v>136</v>
      </c>
      <c r="DN28" s="15">
        <f ca="1">_xlfn.STDEV.S(J30:DE30)</f>
        <v>504.20344412112775</v>
      </c>
      <c r="DO28" s="20" t="s">
        <v>150</v>
      </c>
      <c r="DP28" s="32">
        <f ca="1">DN27-DP27*DN29</f>
        <v>289.42627278361624</v>
      </c>
    </row>
    <row r="29" spans="1:120" x14ac:dyDescent="0.35">
      <c r="A29" s="16">
        <v>44468</v>
      </c>
      <c r="B29" s="17">
        <v>17711.3</v>
      </c>
      <c r="C29" s="10"/>
      <c r="D29" s="19">
        <f t="shared" si="0"/>
        <v>-2.1037856145795374E-3</v>
      </c>
      <c r="I29" s="13" t="s">
        <v>154</v>
      </c>
      <c r="J29" s="22">
        <f ca="1">MAX($DH$4-J24,0)</f>
        <v>0</v>
      </c>
      <c r="K29" s="22">
        <f t="shared" ref="K29:BV29" ca="1" si="105">MAX($DH$4-K24,0)</f>
        <v>355.43422606018066</v>
      </c>
      <c r="L29" s="22">
        <f t="shared" ca="1" si="105"/>
        <v>513.52144843392671</v>
      </c>
      <c r="M29" s="22">
        <f t="shared" ca="1" si="105"/>
        <v>0</v>
      </c>
      <c r="N29" s="22">
        <f t="shared" ca="1" si="105"/>
        <v>0</v>
      </c>
      <c r="O29" s="22">
        <f t="shared" ca="1" si="105"/>
        <v>0</v>
      </c>
      <c r="P29" s="22">
        <f t="shared" ca="1" si="105"/>
        <v>1572.6846263556108</v>
      </c>
      <c r="Q29" s="22">
        <f t="shared" ca="1" si="105"/>
        <v>0</v>
      </c>
      <c r="R29" s="22">
        <f t="shared" ca="1" si="105"/>
        <v>0</v>
      </c>
      <c r="S29" s="22">
        <f t="shared" ca="1" si="105"/>
        <v>0</v>
      </c>
      <c r="T29" s="22">
        <f t="shared" ca="1" si="105"/>
        <v>863.52297486454336</v>
      </c>
      <c r="U29" s="22">
        <f t="shared" ca="1" si="105"/>
        <v>0</v>
      </c>
      <c r="V29" s="22">
        <f t="shared" ca="1" si="105"/>
        <v>0</v>
      </c>
      <c r="W29" s="22">
        <f t="shared" ca="1" si="105"/>
        <v>553.17185324318052</v>
      </c>
      <c r="X29" s="22">
        <f t="shared" ca="1" si="105"/>
        <v>0</v>
      </c>
      <c r="Y29" s="22">
        <f t="shared" ca="1" si="105"/>
        <v>1017.2578592866885</v>
      </c>
      <c r="Z29" s="22">
        <f t="shared" ca="1" si="105"/>
        <v>374.71521933141776</v>
      </c>
      <c r="AA29" s="22">
        <f t="shared" ca="1" si="105"/>
        <v>841.2333685170488</v>
      </c>
      <c r="AB29" s="22">
        <f t="shared" ca="1" si="105"/>
        <v>0</v>
      </c>
      <c r="AC29" s="22">
        <f t="shared" ca="1" si="105"/>
        <v>825.85153863266169</v>
      </c>
      <c r="AD29" s="22">
        <f t="shared" ca="1" si="105"/>
        <v>0</v>
      </c>
      <c r="AE29" s="22">
        <f t="shared" ca="1" si="105"/>
        <v>383.36431489051029</v>
      </c>
      <c r="AF29" s="22">
        <f t="shared" ca="1" si="105"/>
        <v>100.96707979215716</v>
      </c>
      <c r="AG29" s="22">
        <f t="shared" ca="1" si="105"/>
        <v>0</v>
      </c>
      <c r="AH29" s="22">
        <f t="shared" ca="1" si="105"/>
        <v>0</v>
      </c>
      <c r="AI29" s="22">
        <f t="shared" ca="1" si="105"/>
        <v>0</v>
      </c>
      <c r="AJ29" s="22">
        <f t="shared" ca="1" si="105"/>
        <v>1458.2413071920128</v>
      </c>
      <c r="AK29" s="22">
        <f t="shared" ca="1" si="105"/>
        <v>0</v>
      </c>
      <c r="AL29" s="22">
        <f t="shared" ca="1" si="105"/>
        <v>0</v>
      </c>
      <c r="AM29" s="22">
        <f t="shared" ca="1" si="105"/>
        <v>548.83187105919933</v>
      </c>
      <c r="AN29" s="22">
        <f t="shared" ca="1" si="105"/>
        <v>633.028601197635</v>
      </c>
      <c r="AO29" s="22">
        <f t="shared" ca="1" si="105"/>
        <v>0</v>
      </c>
      <c r="AP29" s="22">
        <f t="shared" ca="1" si="105"/>
        <v>344.22948519362762</v>
      </c>
      <c r="AQ29" s="22">
        <f t="shared" ca="1" si="105"/>
        <v>0</v>
      </c>
      <c r="AR29" s="22">
        <f t="shared" ca="1" si="105"/>
        <v>0</v>
      </c>
      <c r="AS29" s="22">
        <f t="shared" ca="1" si="105"/>
        <v>0</v>
      </c>
      <c r="AT29" s="22">
        <f t="shared" ca="1" si="105"/>
        <v>0</v>
      </c>
      <c r="AU29" s="22">
        <f t="shared" ca="1" si="105"/>
        <v>1422.9156400030624</v>
      </c>
      <c r="AV29" s="22">
        <f t="shared" ca="1" si="105"/>
        <v>1594.6137744180196</v>
      </c>
      <c r="AW29" s="22">
        <f t="shared" ca="1" si="105"/>
        <v>446.86462427255901</v>
      </c>
      <c r="AX29" s="22">
        <f t="shared" ca="1" si="105"/>
        <v>0</v>
      </c>
      <c r="AY29" s="22">
        <f t="shared" ca="1" si="105"/>
        <v>241.02185893720525</v>
      </c>
      <c r="AZ29" s="22">
        <f t="shared" ca="1" si="105"/>
        <v>0</v>
      </c>
      <c r="BA29" s="22">
        <f t="shared" ca="1" si="105"/>
        <v>0</v>
      </c>
      <c r="BB29" s="22">
        <f t="shared" ca="1" si="105"/>
        <v>0</v>
      </c>
      <c r="BC29" s="22">
        <f t="shared" ca="1" si="105"/>
        <v>451.12311323805625</v>
      </c>
      <c r="BD29" s="22">
        <f t="shared" ca="1" si="105"/>
        <v>182.55134504629677</v>
      </c>
      <c r="BE29" s="22">
        <f t="shared" ca="1" si="105"/>
        <v>0</v>
      </c>
      <c r="BF29" s="22">
        <f t="shared" ca="1" si="105"/>
        <v>296.8475748944802</v>
      </c>
      <c r="BG29" s="22">
        <f t="shared" ca="1" si="105"/>
        <v>523.75270564830134</v>
      </c>
      <c r="BH29" s="22">
        <f t="shared" ca="1" si="105"/>
        <v>1177.3547471452766</v>
      </c>
      <c r="BI29" s="22">
        <f t="shared" ca="1" si="105"/>
        <v>759.104963369904</v>
      </c>
      <c r="BJ29" s="22">
        <f t="shared" ca="1" si="105"/>
        <v>0</v>
      </c>
      <c r="BK29" s="22">
        <f t="shared" ca="1" si="105"/>
        <v>0</v>
      </c>
      <c r="BL29" s="22">
        <f t="shared" ca="1" si="105"/>
        <v>622.00744901670259</v>
      </c>
      <c r="BM29" s="22">
        <f t="shared" ca="1" si="105"/>
        <v>1804.1140307642381</v>
      </c>
      <c r="BN29" s="22">
        <f t="shared" ca="1" si="105"/>
        <v>1401.4581027324784</v>
      </c>
      <c r="BO29" s="22">
        <f t="shared" ca="1" si="105"/>
        <v>1220.7488213934812</v>
      </c>
      <c r="BP29" s="22">
        <f t="shared" ca="1" si="105"/>
        <v>0</v>
      </c>
      <c r="BQ29" s="22">
        <f t="shared" ca="1" si="105"/>
        <v>0</v>
      </c>
      <c r="BR29" s="22">
        <f t="shared" ca="1" si="105"/>
        <v>0</v>
      </c>
      <c r="BS29" s="22">
        <f t="shared" ca="1" si="105"/>
        <v>848.31018486162066</v>
      </c>
      <c r="BT29" s="22">
        <f t="shared" ca="1" si="105"/>
        <v>1027.0317707642243</v>
      </c>
      <c r="BU29" s="22">
        <f t="shared" ca="1" si="105"/>
        <v>0</v>
      </c>
      <c r="BV29" s="22">
        <f t="shared" ca="1" si="105"/>
        <v>49.815829409886646</v>
      </c>
      <c r="BW29" s="22">
        <f t="shared" ref="BW29:DE29" ca="1" si="106">MAX($DH$4-BW24,0)</f>
        <v>0</v>
      </c>
      <c r="BX29" s="22">
        <f t="shared" ca="1" si="106"/>
        <v>0</v>
      </c>
      <c r="BY29" s="22">
        <f t="shared" ca="1" si="106"/>
        <v>0</v>
      </c>
      <c r="BZ29" s="22">
        <f t="shared" ca="1" si="106"/>
        <v>1896.3803663467843</v>
      </c>
      <c r="CA29" s="22">
        <f t="shared" ca="1" si="106"/>
        <v>0</v>
      </c>
      <c r="CB29" s="22">
        <f t="shared" ca="1" si="106"/>
        <v>503.03931985502641</v>
      </c>
      <c r="CC29" s="22">
        <f t="shared" ca="1" si="106"/>
        <v>923.74501109435005</v>
      </c>
      <c r="CD29" s="22">
        <f t="shared" ca="1" si="106"/>
        <v>445.7314555166522</v>
      </c>
      <c r="CE29" s="22">
        <f t="shared" ca="1" si="106"/>
        <v>0</v>
      </c>
      <c r="CF29" s="22">
        <f t="shared" ca="1" si="106"/>
        <v>77.640017880112282</v>
      </c>
      <c r="CG29" s="22">
        <f t="shared" ca="1" si="106"/>
        <v>0</v>
      </c>
      <c r="CH29" s="22">
        <f t="shared" ca="1" si="106"/>
        <v>590.02377996347423</v>
      </c>
      <c r="CI29" s="22">
        <f t="shared" ca="1" si="106"/>
        <v>878.83383923405563</v>
      </c>
      <c r="CJ29" s="22">
        <f t="shared" ca="1" si="106"/>
        <v>17.215942505234125</v>
      </c>
      <c r="CK29" s="22">
        <f t="shared" ca="1" si="106"/>
        <v>1518.7003477800317</v>
      </c>
      <c r="CL29" s="22">
        <f t="shared" ca="1" si="106"/>
        <v>835.37921998512684</v>
      </c>
      <c r="CM29" s="22">
        <f t="shared" ca="1" si="106"/>
        <v>745.05373529706412</v>
      </c>
      <c r="CN29" s="22">
        <f t="shared" ca="1" si="106"/>
        <v>0</v>
      </c>
      <c r="CO29" s="22">
        <f t="shared" ca="1" si="106"/>
        <v>0</v>
      </c>
      <c r="CP29" s="22">
        <f t="shared" ca="1" si="106"/>
        <v>403.28183253986572</v>
      </c>
      <c r="CQ29" s="22">
        <f t="shared" ca="1" si="106"/>
        <v>0</v>
      </c>
      <c r="CR29" s="22">
        <f t="shared" ca="1" si="106"/>
        <v>0</v>
      </c>
      <c r="CS29" s="22">
        <f t="shared" ca="1" si="106"/>
        <v>614.04388301873041</v>
      </c>
      <c r="CT29" s="22">
        <f t="shared" ca="1" si="106"/>
        <v>31.275098697195062</v>
      </c>
      <c r="CU29" s="22">
        <f t="shared" ca="1" si="106"/>
        <v>0</v>
      </c>
      <c r="CV29" s="22">
        <f t="shared" ca="1" si="106"/>
        <v>266.64971415721084</v>
      </c>
      <c r="CW29" s="22">
        <f t="shared" ca="1" si="106"/>
        <v>411.81088309288316</v>
      </c>
      <c r="CX29" s="22">
        <f t="shared" ca="1" si="106"/>
        <v>0</v>
      </c>
      <c r="CY29" s="22">
        <f t="shared" ca="1" si="106"/>
        <v>0</v>
      </c>
      <c r="CZ29" s="22">
        <f t="shared" ca="1" si="106"/>
        <v>1385.327625444319</v>
      </c>
      <c r="DA29" s="22">
        <f t="shared" ca="1" si="106"/>
        <v>1117.0616286322074</v>
      </c>
      <c r="DB29" s="22">
        <f t="shared" ca="1" si="106"/>
        <v>724.95059791517269</v>
      </c>
      <c r="DC29" s="22">
        <f t="shared" ca="1" si="106"/>
        <v>468.77234844853228</v>
      </c>
      <c r="DD29" s="22">
        <f t="shared" ca="1" si="106"/>
        <v>682.06565781241443</v>
      </c>
      <c r="DE29" s="22">
        <f t="shared" ca="1" si="106"/>
        <v>0</v>
      </c>
      <c r="DG29" s="15" t="s">
        <v>137</v>
      </c>
      <c r="DH29" s="15">
        <f ca="1">DH28/SQRT(100)</f>
        <v>62.271160271033843</v>
      </c>
      <c r="DI29" s="20" t="s">
        <v>151</v>
      </c>
      <c r="DJ29" s="32">
        <f ca="1">DH27+DJ27*DH29</f>
        <v>515.28649750771808</v>
      </c>
      <c r="DM29" s="15" t="s">
        <v>137</v>
      </c>
      <c r="DN29" s="15">
        <f ca="1">DN28/SQRT(100)</f>
        <v>50.420344412112776</v>
      </c>
      <c r="DO29" s="20" t="s">
        <v>151</v>
      </c>
      <c r="DP29" s="32">
        <f ca="1">DN27+DP27*DN29</f>
        <v>487.07039105530907</v>
      </c>
    </row>
    <row r="30" spans="1:120" x14ac:dyDescent="0.35">
      <c r="A30" s="16">
        <v>44469</v>
      </c>
      <c r="B30" s="17">
        <v>17618.150000000001</v>
      </c>
      <c r="C30" s="10"/>
      <c r="D30" s="19">
        <f t="shared" si="0"/>
        <v>-5.2732332856385341E-3</v>
      </c>
      <c r="I30" s="13" t="s">
        <v>148</v>
      </c>
      <c r="J30" s="18">
        <f ca="1">J29*EXP(-$DH$5*$DH$7)</f>
        <v>0</v>
      </c>
      <c r="K30" s="18">
        <f t="shared" ref="K30" ca="1" si="107">K29*EXP(-$DH$5*$DH$7)</f>
        <v>353.90428262958488</v>
      </c>
      <c r="L30" s="18">
        <f t="shared" ref="L30" ca="1" si="108">L29*EXP(-$DH$5*$DH$7)</f>
        <v>511.31102887132528</v>
      </c>
      <c r="M30" s="18">
        <f t="shared" ref="M30" ca="1" si="109">M29*EXP(-$DH$5*$DH$7)</f>
        <v>0</v>
      </c>
      <c r="N30" s="18">
        <f t="shared" ref="N30" ca="1" si="110">N29*EXP(-$DH$5*$DH$7)</f>
        <v>0</v>
      </c>
      <c r="O30" s="18">
        <f t="shared" ref="O30" ca="1" si="111">O29*EXP(-$DH$5*$DH$7)</f>
        <v>0</v>
      </c>
      <c r="P30" s="18">
        <f t="shared" ref="P30" ca="1" si="112">P29*EXP(-$DH$5*$DH$7)</f>
        <v>1565.9151080141658</v>
      </c>
      <c r="Q30" s="18">
        <f t="shared" ref="Q30" ca="1" si="113">Q29*EXP(-$DH$5*$DH$7)</f>
        <v>0</v>
      </c>
      <c r="R30" s="18">
        <f t="shared" ref="R30" ca="1" si="114">R29*EXP(-$DH$5*$DH$7)</f>
        <v>0</v>
      </c>
      <c r="S30" s="18">
        <f t="shared" ref="S30" ca="1" si="115">S29*EXP(-$DH$5*$DH$7)</f>
        <v>0</v>
      </c>
      <c r="T30" s="18">
        <f t="shared" ref="T30" ca="1" si="116">T29*EXP(-$DH$5*$DH$7)</f>
        <v>859.8059965723661</v>
      </c>
      <c r="U30" s="18">
        <f t="shared" ref="U30" ca="1" si="117">U29*EXP(-$DH$5*$DH$7)</f>
        <v>0</v>
      </c>
      <c r="V30" s="18">
        <f t="shared" ref="V30" ca="1" si="118">V29*EXP(-$DH$5*$DH$7)</f>
        <v>0</v>
      </c>
      <c r="W30" s="18">
        <f t="shared" ref="W30" ca="1" si="119">W29*EXP(-$DH$5*$DH$7)</f>
        <v>550.79076110064557</v>
      </c>
      <c r="X30" s="18">
        <f t="shared" ref="X30" ca="1" si="120">X29*EXP(-$DH$5*$DH$7)</f>
        <v>0</v>
      </c>
      <c r="Y30" s="18">
        <f t="shared" ref="Y30" ca="1" si="121">Y29*EXP(-$DH$5*$DH$7)</f>
        <v>1012.8791392171865</v>
      </c>
      <c r="Z30" s="18">
        <f t="shared" ref="Z30" ca="1" si="122">Z29*EXP(-$DH$5*$DH$7)</f>
        <v>373.10228212355503</v>
      </c>
      <c r="AA30" s="18">
        <f t="shared" ref="AA30" ca="1" si="123">AA29*EXP(-$DH$5*$DH$7)</f>
        <v>837.61233438078443</v>
      </c>
      <c r="AB30" s="18">
        <f t="shared" ref="AB30" ca="1" si="124">AB29*EXP(-$DH$5*$DH$7)</f>
        <v>0</v>
      </c>
      <c r="AC30" s="18">
        <f t="shared" ref="AC30" ca="1" si="125">AC29*EXP(-$DH$5*$DH$7)</f>
        <v>822.29671457932329</v>
      </c>
      <c r="AD30" s="18">
        <f t="shared" ref="AD30" ca="1" si="126">AD29*EXP(-$DH$5*$DH$7)</f>
        <v>0</v>
      </c>
      <c r="AE30" s="18">
        <f t="shared" ref="AE30" ca="1" si="127">AE29*EXP(-$DH$5*$DH$7)</f>
        <v>381.71414821524957</v>
      </c>
      <c r="AF30" s="18">
        <f t="shared" ref="AF30" ca="1" si="128">AF29*EXP(-$DH$5*$DH$7)</f>
        <v>100.53247358625876</v>
      </c>
      <c r="AG30" s="18">
        <f t="shared" ref="AG30" ca="1" si="129">AG29*EXP(-$DH$5*$DH$7)</f>
        <v>0</v>
      </c>
      <c r="AH30" s="18">
        <f t="shared" ref="AH30" ca="1" si="130">AH29*EXP(-$DH$5*$DH$7)</f>
        <v>0</v>
      </c>
      <c r="AI30" s="18">
        <f t="shared" ref="AI30" ca="1" si="131">AI29*EXP(-$DH$5*$DH$7)</f>
        <v>0</v>
      </c>
      <c r="AJ30" s="18">
        <f t="shared" ref="AJ30" ca="1" si="132">AJ29*EXP(-$DH$5*$DH$7)</f>
        <v>1451.964402649387</v>
      </c>
      <c r="AK30" s="18">
        <f t="shared" ref="AK30" ca="1" si="133">AK29*EXP(-$DH$5*$DH$7)</f>
        <v>0</v>
      </c>
      <c r="AL30" s="18">
        <f t="shared" ref="AL30" ca="1" si="134">AL29*EXP(-$DH$5*$DH$7)</f>
        <v>0</v>
      </c>
      <c r="AM30" s="18">
        <f t="shared" ref="AM30" ca="1" si="135">AM29*EXP(-$DH$5*$DH$7)</f>
        <v>546.46946008675002</v>
      </c>
      <c r="AN30" s="18">
        <f t="shared" ref="AN30" ca="1" si="136">AN29*EXP(-$DH$5*$DH$7)</f>
        <v>630.30377089494607</v>
      </c>
      <c r="AO30" s="18">
        <f t="shared" ref="AO30" ca="1" si="137">AO29*EXP(-$DH$5*$DH$7)</f>
        <v>0</v>
      </c>
      <c r="AP30" s="18">
        <f t="shared" ref="AP30" ca="1" si="138">AP29*EXP(-$DH$5*$DH$7)</f>
        <v>342.74777183887551</v>
      </c>
      <c r="AQ30" s="18">
        <f t="shared" ref="AQ30" ca="1" si="139">AQ29*EXP(-$DH$5*$DH$7)</f>
        <v>0</v>
      </c>
      <c r="AR30" s="18">
        <f t="shared" ref="AR30" ca="1" si="140">AR29*EXP(-$DH$5*$DH$7)</f>
        <v>0</v>
      </c>
      <c r="AS30" s="18">
        <f t="shared" ref="AS30" ca="1" si="141">AS29*EXP(-$DH$5*$DH$7)</f>
        <v>0</v>
      </c>
      <c r="AT30" s="18">
        <f t="shared" ref="AT30" ca="1" si="142">AT29*EXP(-$DH$5*$DH$7)</f>
        <v>0</v>
      </c>
      <c r="AU30" s="18">
        <f t="shared" ref="AU30" ca="1" si="143">AU29*EXP(-$DH$5*$DH$7)</f>
        <v>1416.7907924895142</v>
      </c>
      <c r="AV30" s="18">
        <f t="shared" ref="AV30" ca="1" si="144">AV29*EXP(-$DH$5*$DH$7)</f>
        <v>1587.7498634898263</v>
      </c>
      <c r="AW30" s="18">
        <f t="shared" ref="AW30" ca="1" si="145">AW29*EXP(-$DH$5*$DH$7)</f>
        <v>444.94112465956539</v>
      </c>
      <c r="AX30" s="18">
        <f t="shared" ref="AX30" ca="1" si="146">AX29*EXP(-$DH$5*$DH$7)</f>
        <v>0</v>
      </c>
      <c r="AY30" s="18">
        <f t="shared" ref="AY30" ca="1" si="147">AY29*EXP(-$DH$5*$DH$7)</f>
        <v>239.98439607438988</v>
      </c>
      <c r="AZ30" s="18">
        <f t="shared" ref="AZ30" ca="1" si="148">AZ29*EXP(-$DH$5*$DH$7)</f>
        <v>0</v>
      </c>
      <c r="BA30" s="18">
        <f t="shared" ref="BA30" ca="1" si="149">BA29*EXP(-$DH$5*$DH$7)</f>
        <v>0</v>
      </c>
      <c r="BB30" s="18">
        <f t="shared" ref="BB30" ca="1" si="150">BB29*EXP(-$DH$5*$DH$7)</f>
        <v>0</v>
      </c>
      <c r="BC30" s="18">
        <f t="shared" ref="BC30" ca="1" si="151">BC29*EXP(-$DH$5*$DH$7)</f>
        <v>449.18128323721771</v>
      </c>
      <c r="BD30" s="18">
        <f t="shared" ref="BD30" ca="1" si="152">BD29*EXP(-$DH$5*$DH$7)</f>
        <v>181.76556469476498</v>
      </c>
      <c r="BE30" s="18">
        <f t="shared" ref="BE30" ca="1" si="153">BE29*EXP(-$DH$5*$DH$7)</f>
        <v>0</v>
      </c>
      <c r="BF30" s="18">
        <f t="shared" ref="BF30" ca="1" si="154">BF29*EXP(-$DH$5*$DH$7)</f>
        <v>295.56981388048825</v>
      </c>
      <c r="BG30" s="18">
        <f t="shared" ref="BG30" ca="1" si="155">BG29*EXP(-$DH$5*$DH$7)</f>
        <v>521.49824630670798</v>
      </c>
      <c r="BH30" s="18">
        <f t="shared" ref="BH30" ca="1" si="156">BH29*EXP(-$DH$5*$DH$7)</f>
        <v>1172.2869004698396</v>
      </c>
      <c r="BI30" s="18">
        <f t="shared" ref="BI30" ca="1" si="157">BI29*EXP(-$DH$5*$DH$7)</f>
        <v>755.83744559393222</v>
      </c>
      <c r="BJ30" s="18">
        <f t="shared" ref="BJ30" ca="1" si="158">BJ29*EXP(-$DH$5*$DH$7)</f>
        <v>0</v>
      </c>
      <c r="BK30" s="18">
        <f t="shared" ref="BK30" ca="1" si="159">BK29*EXP(-$DH$5*$DH$7)</f>
        <v>0</v>
      </c>
      <c r="BL30" s="18">
        <f t="shared" ref="BL30" ca="1" si="160">BL29*EXP(-$DH$5*$DH$7)</f>
        <v>619.330058544341</v>
      </c>
      <c r="BM30" s="18">
        <f t="shared" ref="BM30" ca="1" si="161">BM29*EXP(-$DH$5*$DH$7)</f>
        <v>1796.3483396544966</v>
      </c>
      <c r="BN30" s="18">
        <f t="shared" ref="BN30" ca="1" si="162">BN29*EXP(-$DH$5*$DH$7)</f>
        <v>1395.4256177878019</v>
      </c>
      <c r="BO30" s="18">
        <f t="shared" ref="BO30" ca="1" si="163">BO29*EXP(-$DH$5*$DH$7)</f>
        <v>1215.4941877573208</v>
      </c>
      <c r="BP30" s="18">
        <f t="shared" ref="BP30" ca="1" si="164">BP29*EXP(-$DH$5*$DH$7)</f>
        <v>0</v>
      </c>
      <c r="BQ30" s="18">
        <f t="shared" ref="BQ30" ca="1" si="165">BQ29*EXP(-$DH$5*$DH$7)</f>
        <v>0</v>
      </c>
      <c r="BR30" s="18">
        <f t="shared" ref="BR30" ca="1" si="166">BR29*EXP(-$DH$5*$DH$7)</f>
        <v>0</v>
      </c>
      <c r="BS30" s="18">
        <f t="shared" ref="BS30" ca="1" si="167">BS29*EXP(-$DH$5*$DH$7)</f>
        <v>844.65868903123101</v>
      </c>
      <c r="BT30" s="18">
        <f t="shared" ref="BT30" ca="1" si="168">BT29*EXP(-$DH$5*$DH$7)</f>
        <v>1022.6109795306086</v>
      </c>
      <c r="BU30" s="18">
        <f t="shared" ref="BU30" ca="1" si="169">BU29*EXP(-$DH$5*$DH$7)</f>
        <v>0</v>
      </c>
      <c r="BV30" s="18">
        <f t="shared" ref="BV30" ca="1" si="170">BV29*EXP(-$DH$5*$DH$7)</f>
        <v>49.601400423150764</v>
      </c>
      <c r="BW30" s="18">
        <f t="shared" ref="BW30" ca="1" si="171">BW29*EXP(-$DH$5*$DH$7)</f>
        <v>0</v>
      </c>
      <c r="BX30" s="18">
        <f t="shared" ref="BX30" ca="1" si="172">BX29*EXP(-$DH$5*$DH$7)</f>
        <v>0</v>
      </c>
      <c r="BY30" s="18">
        <f t="shared" ref="BY30" ca="1" si="173">BY29*EXP(-$DH$5*$DH$7)</f>
        <v>0</v>
      </c>
      <c r="BZ30" s="18">
        <f t="shared" ref="BZ30" ca="1" si="174">BZ29*EXP(-$DH$5*$DH$7)</f>
        <v>1888.2175208167878</v>
      </c>
      <c r="CA30" s="18">
        <f t="shared" ref="CA30" ca="1" si="175">CA29*EXP(-$DH$5*$DH$7)</f>
        <v>0</v>
      </c>
      <c r="CB30" s="18">
        <f t="shared" ref="CB30" ca="1" si="176">CB29*EXP(-$DH$5*$DH$7)</f>
        <v>500.87401993083381</v>
      </c>
      <c r="CC30" s="18">
        <f t="shared" ref="CC30" ca="1" si="177">CC29*EXP(-$DH$5*$DH$7)</f>
        <v>919.76881097728494</v>
      </c>
      <c r="CD30" s="18">
        <f t="shared" ref="CD30" ca="1" si="178">CD29*EXP(-$DH$5*$DH$7)</f>
        <v>443.81283355461829</v>
      </c>
      <c r="CE30" s="18">
        <f t="shared" ref="CE30" ca="1" si="179">CE29*EXP(-$DH$5*$DH$7)</f>
        <v>0</v>
      </c>
      <c r="CF30" s="18">
        <f t="shared" ref="CF30" ca="1" si="180">CF29*EXP(-$DH$5*$DH$7)</f>
        <v>77.305821489900538</v>
      </c>
      <c r="CG30" s="18">
        <f t="shared" ref="CG30" ca="1" si="181">CG29*EXP(-$DH$5*$DH$7)</f>
        <v>0</v>
      </c>
      <c r="CH30" s="18">
        <f t="shared" ref="CH30" ca="1" si="182">CH29*EXP(-$DH$5*$DH$7)</f>
        <v>587.48406110731219</v>
      </c>
      <c r="CI30" s="18">
        <f t="shared" ref="CI30" ca="1" si="183">CI29*EXP(-$DH$5*$DH$7)</f>
        <v>875.05095632537996</v>
      </c>
      <c r="CJ30" s="18">
        <f t="shared" ref="CJ30" ca="1" si="184">CJ29*EXP(-$DH$5*$DH$7)</f>
        <v>17.141837604225131</v>
      </c>
      <c r="CK30" s="18">
        <f t="shared" ref="CK30" ca="1" si="185">CK29*EXP(-$DH$5*$DH$7)</f>
        <v>1512.1632012427251</v>
      </c>
      <c r="CL30" s="18">
        <f t="shared" ref="CL30" ca="1" si="186">CL29*EXP(-$DH$5*$DH$7)</f>
        <v>831.78338464917897</v>
      </c>
      <c r="CM30" s="18">
        <f t="shared" ref="CM30" ca="1" si="187">CM29*EXP(-$DH$5*$DH$7)</f>
        <v>741.84670011535491</v>
      </c>
      <c r="CN30" s="18">
        <f t="shared" ref="CN30" ca="1" si="188">CN29*EXP(-$DH$5*$DH$7)</f>
        <v>0</v>
      </c>
      <c r="CO30" s="18">
        <f t="shared" ref="CO30" ca="1" si="189">CO29*EXP(-$DH$5*$DH$7)</f>
        <v>0</v>
      </c>
      <c r="CP30" s="18">
        <f t="shared" ref="CP30" ca="1" si="190">CP29*EXP(-$DH$5*$DH$7)</f>
        <v>401.54593220969178</v>
      </c>
      <c r="CQ30" s="18">
        <f t="shared" ref="CQ30" ca="1" si="191">CQ29*EXP(-$DH$5*$DH$7)</f>
        <v>0</v>
      </c>
      <c r="CR30" s="18">
        <f t="shared" ref="CR30" ca="1" si="192">CR29*EXP(-$DH$5*$DH$7)</f>
        <v>0</v>
      </c>
      <c r="CS30" s="18">
        <f t="shared" ref="CS30" ca="1" si="193">CS29*EXP(-$DH$5*$DH$7)</f>
        <v>611.40077119650834</v>
      </c>
      <c r="CT30" s="18">
        <f t="shared" ref="CT30" ca="1" si="194">CT29*EXP(-$DH$5*$DH$7)</f>
        <v>31.140477075852083</v>
      </c>
      <c r="CU30" s="18">
        <f t="shared" ref="CU30" ca="1" si="195">CU29*EXP(-$DH$5*$DH$7)</f>
        <v>0</v>
      </c>
      <c r="CV30" s="18">
        <f t="shared" ref="CV30" ca="1" si="196">CV29*EXP(-$DH$5*$DH$7)</f>
        <v>265.50193786406345</v>
      </c>
      <c r="CW30" s="18">
        <f t="shared" ref="CW30" ca="1" si="197">CW29*EXP(-$DH$5*$DH$7)</f>
        <v>410.03827002120579</v>
      </c>
      <c r="CX30" s="18">
        <f t="shared" ref="CX30" ca="1" si="198">CX29*EXP(-$DH$5*$DH$7)</f>
        <v>0</v>
      </c>
      <c r="CY30" s="18">
        <f t="shared" ref="CY30" ca="1" si="199">CY29*EXP(-$DH$5*$DH$7)</f>
        <v>0</v>
      </c>
      <c r="CZ30" s="18">
        <f t="shared" ref="CZ30" ca="1" si="200">CZ29*EXP(-$DH$5*$DH$7)</f>
        <v>1379.3645730864616</v>
      </c>
      <c r="DA30" s="18">
        <f t="shared" ref="DA30" ca="1" si="201">DA29*EXP(-$DH$5*$DH$7)</f>
        <v>1112.2533097507076</v>
      </c>
      <c r="DB30" s="18">
        <f t="shared" ref="DB30" ca="1" si="202">DB29*EXP(-$DH$5*$DH$7)</f>
        <v>721.83009537640203</v>
      </c>
      <c r="DC30" s="18">
        <f t="shared" ref="DC30" ca="1" si="203">DC29*EXP(-$DH$5*$DH$7)</f>
        <v>466.75454846651155</v>
      </c>
      <c r="DD30" s="18">
        <f t="shared" ref="DD30" ca="1" si="204">DD29*EXP(-$DH$5*$DH$7)</f>
        <v>679.12975069966387</v>
      </c>
      <c r="DE30" s="18">
        <f t="shared" ref="DE30" ca="1" si="205">DE29*EXP(-$DH$5*$DH$7)</f>
        <v>0</v>
      </c>
      <c r="DI30" s="20" t="s">
        <v>161</v>
      </c>
      <c r="DJ30" s="32">
        <f ca="1">DJ29-DJ28</f>
        <v>244.09846281349553</v>
      </c>
      <c r="DO30" s="20" t="s">
        <v>161</v>
      </c>
      <c r="DP30" s="32">
        <f ca="1">DP29-DP28</f>
        <v>197.64411827169283</v>
      </c>
    </row>
    <row r="31" spans="1:120" x14ac:dyDescent="0.35">
      <c r="A31" s="16">
        <v>44470</v>
      </c>
      <c r="B31" s="17">
        <v>17532.05</v>
      </c>
      <c r="C31" s="10"/>
      <c r="D31" s="19">
        <f t="shared" si="0"/>
        <v>-4.8989861907132821E-3</v>
      </c>
      <c r="I31" s="13"/>
      <c r="DI31" s="20" t="s">
        <v>152</v>
      </c>
      <c r="DJ31" s="30">
        <f>DH12</f>
        <v>424.24889552338209</v>
      </c>
      <c r="DO31" s="20" t="s">
        <v>155</v>
      </c>
      <c r="DP31" s="30">
        <f>DI12</f>
        <v>362.36541989672514</v>
      </c>
    </row>
    <row r="32" spans="1:120" x14ac:dyDescent="0.35">
      <c r="A32" s="16">
        <v>44473</v>
      </c>
      <c r="B32" s="17">
        <v>17691.25</v>
      </c>
      <c r="C32" s="10"/>
      <c r="D32" s="19">
        <f t="shared" si="0"/>
        <v>9.0395325855123446E-3</v>
      </c>
      <c r="I32" s="36" t="s">
        <v>156</v>
      </c>
      <c r="J32" s="18">
        <f ca="1">AVERAGE(J3:J24)</f>
        <v>24589.17228199805</v>
      </c>
      <c r="K32" s="18">
        <f t="shared" ref="K32:BV32" ca="1" si="206">AVERAGE(K3:K24)</f>
        <v>24367.954583296148</v>
      </c>
      <c r="L32" s="18">
        <f t="shared" ca="1" si="206"/>
        <v>23213.962105362811</v>
      </c>
      <c r="M32" s="18">
        <f t="shared" ca="1" si="206"/>
        <v>25057.431664974745</v>
      </c>
      <c r="N32" s="18">
        <f t="shared" ca="1" si="206"/>
        <v>24724.204795847825</v>
      </c>
      <c r="O32" s="18">
        <f t="shared" ca="1" si="206"/>
        <v>24439.711907337722</v>
      </c>
      <c r="P32" s="18">
        <f t="shared" ca="1" si="206"/>
        <v>23520.445884638346</v>
      </c>
      <c r="Q32" s="18">
        <f t="shared" ca="1" si="206"/>
        <v>24544.488466086706</v>
      </c>
      <c r="R32" s="18">
        <f t="shared" ca="1" si="206"/>
        <v>24578.93222416842</v>
      </c>
      <c r="S32" s="18">
        <f t="shared" ca="1" si="206"/>
        <v>24470.530837669572</v>
      </c>
      <c r="T32" s="18">
        <f t="shared" ca="1" si="206"/>
        <v>23421.247374394603</v>
      </c>
      <c r="U32" s="18">
        <f t="shared" ca="1" si="206"/>
        <v>24437.724917466068</v>
      </c>
      <c r="V32" s="18">
        <f t="shared" ca="1" si="206"/>
        <v>24007.527089025189</v>
      </c>
      <c r="W32" s="18">
        <f t="shared" ca="1" si="206"/>
        <v>23281.028552695494</v>
      </c>
      <c r="X32" s="18">
        <f t="shared" ca="1" si="206"/>
        <v>25151.02227602791</v>
      </c>
      <c r="Y32" s="18">
        <f t="shared" ca="1" si="206"/>
        <v>23336.810689404305</v>
      </c>
      <c r="Z32" s="18">
        <f t="shared" ca="1" si="206"/>
        <v>23683.847686421108</v>
      </c>
      <c r="AA32" s="18">
        <f t="shared" ca="1" si="206"/>
        <v>23719.002990698296</v>
      </c>
      <c r="AB32" s="18">
        <f t="shared" ca="1" si="206"/>
        <v>24891.783579817962</v>
      </c>
      <c r="AC32" s="18">
        <f t="shared" ca="1" si="206"/>
        <v>23694.481862187084</v>
      </c>
      <c r="AD32" s="18">
        <f t="shared" ca="1" si="206"/>
        <v>24307.194221548307</v>
      </c>
      <c r="AE32" s="18">
        <f t="shared" ca="1" si="206"/>
        <v>24025.169185277951</v>
      </c>
      <c r="AF32" s="18">
        <f t="shared" ca="1" si="206"/>
        <v>24258.088051804327</v>
      </c>
      <c r="AG32" s="18">
        <f t="shared" ca="1" si="206"/>
        <v>23890.398239653001</v>
      </c>
      <c r="AH32" s="18">
        <f t="shared" ca="1" si="206"/>
        <v>25601.660102774822</v>
      </c>
      <c r="AI32" s="18">
        <f t="shared" ca="1" si="206"/>
        <v>24377.017740913187</v>
      </c>
      <c r="AJ32" s="18">
        <f t="shared" ca="1" si="206"/>
        <v>23220.446533393246</v>
      </c>
      <c r="AK32" s="18">
        <f t="shared" ca="1" si="206"/>
        <v>24159.952335529822</v>
      </c>
      <c r="AL32" s="18">
        <f t="shared" ca="1" si="206"/>
        <v>24089.513552716468</v>
      </c>
      <c r="AM32" s="18">
        <f t="shared" ca="1" si="206"/>
        <v>24125.020997582564</v>
      </c>
      <c r="AN32" s="18">
        <f t="shared" ca="1" si="206"/>
        <v>24171.791300065266</v>
      </c>
      <c r="AO32" s="18">
        <f t="shared" ca="1" si="206"/>
        <v>24581.025267287892</v>
      </c>
      <c r="AP32" s="18">
        <f t="shared" ca="1" si="206"/>
        <v>23617.883319073488</v>
      </c>
      <c r="AQ32" s="18">
        <f t="shared" ca="1" si="206"/>
        <v>24759.079204595044</v>
      </c>
      <c r="AR32" s="18">
        <f t="shared" ca="1" si="206"/>
        <v>24308.88937693437</v>
      </c>
      <c r="AS32" s="18">
        <f t="shared" ca="1" si="206"/>
        <v>25041.533494838408</v>
      </c>
      <c r="AT32" s="18">
        <f t="shared" ca="1" si="206"/>
        <v>25302.557159009564</v>
      </c>
      <c r="AU32" s="18">
        <f t="shared" ca="1" si="206"/>
        <v>23160.963086283111</v>
      </c>
      <c r="AV32" s="18">
        <f t="shared" ca="1" si="206"/>
        <v>23733.90454994094</v>
      </c>
      <c r="AW32" s="18">
        <f t="shared" ca="1" si="206"/>
        <v>23958.596576099513</v>
      </c>
      <c r="AX32" s="18">
        <f t="shared" ca="1" si="206"/>
        <v>24859.676244283382</v>
      </c>
      <c r="AY32" s="18">
        <f t="shared" ca="1" si="206"/>
        <v>23923.070978919593</v>
      </c>
      <c r="AZ32" s="18">
        <f t="shared" ca="1" si="206"/>
        <v>24391.528618624678</v>
      </c>
      <c r="BA32" s="18">
        <f t="shared" ca="1" si="206"/>
        <v>25707.960706018446</v>
      </c>
      <c r="BB32" s="18">
        <f t="shared" ca="1" si="206"/>
        <v>24530.732039002036</v>
      </c>
      <c r="BC32" s="18">
        <f t="shared" ca="1" si="206"/>
        <v>23799.195127773663</v>
      </c>
      <c r="BD32" s="18">
        <f t="shared" ca="1" si="206"/>
        <v>24686.596757902546</v>
      </c>
      <c r="BE32" s="18">
        <f t="shared" ca="1" si="206"/>
        <v>25152.683774941208</v>
      </c>
      <c r="BF32" s="18">
        <f t="shared" ca="1" si="206"/>
        <v>24209.876929216563</v>
      </c>
      <c r="BG32" s="18">
        <f t="shared" ca="1" si="206"/>
        <v>23822.332237156668</v>
      </c>
      <c r="BH32" s="18">
        <f t="shared" ca="1" si="206"/>
        <v>24020.397933607746</v>
      </c>
      <c r="BI32" s="18">
        <f t="shared" ca="1" si="206"/>
        <v>24033.52319097938</v>
      </c>
      <c r="BJ32" s="18">
        <f t="shared" ca="1" si="206"/>
        <v>24158.664880082266</v>
      </c>
      <c r="BK32" s="18">
        <f t="shared" ca="1" si="206"/>
        <v>24436.687208213916</v>
      </c>
      <c r="BL32" s="18">
        <f t="shared" ca="1" si="206"/>
        <v>23768.828822663341</v>
      </c>
      <c r="BM32" s="18">
        <f t="shared" ca="1" si="206"/>
        <v>22775.842464246369</v>
      </c>
      <c r="BN32" s="18">
        <f t="shared" ca="1" si="206"/>
        <v>23331.173569901661</v>
      </c>
      <c r="BO32" s="18">
        <f t="shared" ca="1" si="206"/>
        <v>23735.072149424919</v>
      </c>
      <c r="BP32" s="18">
        <f t="shared" ca="1" si="206"/>
        <v>23413.404775701689</v>
      </c>
      <c r="BQ32" s="18">
        <f t="shared" ca="1" si="206"/>
        <v>24617.778591752165</v>
      </c>
      <c r="BR32" s="18">
        <f t="shared" ca="1" si="206"/>
        <v>24979.175869876923</v>
      </c>
      <c r="BS32" s="18">
        <f t="shared" ca="1" si="206"/>
        <v>23530.14598418666</v>
      </c>
      <c r="BT32" s="18">
        <f t="shared" ca="1" si="206"/>
        <v>23568.337050394741</v>
      </c>
      <c r="BU32" s="18">
        <f t="shared" ca="1" si="206"/>
        <v>25126.1365636394</v>
      </c>
      <c r="BV32" s="18">
        <f t="shared" ca="1" si="206"/>
        <v>24051.060665944566</v>
      </c>
      <c r="BW32" s="18">
        <f t="shared" ref="BW32:DE32" ca="1" si="207">AVERAGE(BW3:BW24)</f>
        <v>24751.171528372724</v>
      </c>
      <c r="BX32" s="18">
        <f t="shared" ca="1" si="207"/>
        <v>24611.850032867234</v>
      </c>
      <c r="BY32" s="18">
        <f t="shared" ca="1" si="207"/>
        <v>24251.055997079751</v>
      </c>
      <c r="BZ32" s="18">
        <f t="shared" ca="1" si="207"/>
        <v>22778.329890739962</v>
      </c>
      <c r="CA32" s="18">
        <f t="shared" ca="1" si="207"/>
        <v>24370.708494726648</v>
      </c>
      <c r="CB32" s="18">
        <f t="shared" ca="1" si="207"/>
        <v>24531.453344680231</v>
      </c>
      <c r="CC32" s="18">
        <f t="shared" ca="1" si="207"/>
        <v>23687.417725408581</v>
      </c>
      <c r="CD32" s="18">
        <f t="shared" ca="1" si="207"/>
        <v>24579.453575079875</v>
      </c>
      <c r="CE32" s="18">
        <f t="shared" ca="1" si="207"/>
        <v>24441.468662305808</v>
      </c>
      <c r="CF32" s="18">
        <f t="shared" ca="1" si="207"/>
        <v>23953.597165744195</v>
      </c>
      <c r="CG32" s="18">
        <f t="shared" ca="1" si="207"/>
        <v>24027.519566307907</v>
      </c>
      <c r="CH32" s="18">
        <f t="shared" ca="1" si="207"/>
        <v>23740.868707811838</v>
      </c>
      <c r="CI32" s="18">
        <f t="shared" ca="1" si="207"/>
        <v>23516.899019169345</v>
      </c>
      <c r="CJ32" s="18">
        <f t="shared" ca="1" si="207"/>
        <v>24201.666193868281</v>
      </c>
      <c r="CK32" s="18">
        <f t="shared" ca="1" si="207"/>
        <v>23411.761299889888</v>
      </c>
      <c r="CL32" s="18">
        <f t="shared" ca="1" si="207"/>
        <v>23928.028258933093</v>
      </c>
      <c r="CM32" s="18">
        <f t="shared" ca="1" si="207"/>
        <v>23744.472767576644</v>
      </c>
      <c r="CN32" s="18">
        <f t="shared" ca="1" si="207"/>
        <v>25073.279994037104</v>
      </c>
      <c r="CO32" s="18">
        <f t="shared" ca="1" si="207"/>
        <v>24594.22105760936</v>
      </c>
      <c r="CP32" s="18">
        <f t="shared" ca="1" si="207"/>
        <v>24080.185785984879</v>
      </c>
      <c r="CQ32" s="18">
        <f t="shared" ca="1" si="207"/>
        <v>24158.87246687814</v>
      </c>
      <c r="CR32" s="18">
        <f t="shared" ca="1" si="207"/>
        <v>23929.870040110192</v>
      </c>
      <c r="CS32" s="18">
        <f t="shared" ca="1" si="207"/>
        <v>23412.794928795734</v>
      </c>
      <c r="CT32" s="18">
        <f t="shared" ca="1" si="207"/>
        <v>24271.267530730926</v>
      </c>
      <c r="CU32" s="18">
        <f t="shared" ca="1" si="207"/>
        <v>24951.852930744357</v>
      </c>
      <c r="CV32" s="18">
        <f t="shared" ca="1" si="207"/>
        <v>23962.853319532904</v>
      </c>
      <c r="CW32" s="18">
        <f t="shared" ca="1" si="207"/>
        <v>23992.692093533526</v>
      </c>
      <c r="CX32" s="18">
        <f t="shared" ca="1" si="207"/>
        <v>25162.156401141601</v>
      </c>
      <c r="CY32" s="18">
        <f t="shared" ca="1" si="207"/>
        <v>24644.857023584937</v>
      </c>
      <c r="CZ32" s="18">
        <f t="shared" ca="1" si="207"/>
        <v>23085.697912934022</v>
      </c>
      <c r="DA32" s="18">
        <f t="shared" ca="1" si="207"/>
        <v>24010.934976554803</v>
      </c>
      <c r="DB32" s="18">
        <f t="shared" ca="1" si="207"/>
        <v>23526.926906846125</v>
      </c>
      <c r="DC32" s="18">
        <f t="shared" ca="1" si="207"/>
        <v>24284.907252287005</v>
      </c>
      <c r="DD32" s="18">
        <f t="shared" ca="1" si="207"/>
        <v>24067.093045234655</v>
      </c>
      <c r="DE32" s="18">
        <f t="shared" ca="1" si="207"/>
        <v>25362.89401837725</v>
      </c>
    </row>
    <row r="33" spans="1:114" x14ac:dyDescent="0.35">
      <c r="A33" s="16">
        <v>44474</v>
      </c>
      <c r="B33" s="17">
        <v>17822.3</v>
      </c>
      <c r="C33" s="10"/>
      <c r="D33" s="19">
        <f t="shared" si="0"/>
        <v>7.3803151105359625E-3</v>
      </c>
      <c r="I33" s="36"/>
      <c r="J33" s="18">
        <f ca="1">MAX(J32-$DH$4,0)</f>
        <v>389.17228199804958</v>
      </c>
      <c r="K33" s="18">
        <f t="shared" ref="K33:BV33" ca="1" si="208">MAX(K32-$DH$4,0)</f>
        <v>167.95458329614848</v>
      </c>
      <c r="L33" s="18">
        <f t="shared" ca="1" si="208"/>
        <v>0</v>
      </c>
      <c r="M33" s="18">
        <f t="shared" ca="1" si="208"/>
        <v>857.43166497474522</v>
      </c>
      <c r="N33" s="18">
        <f t="shared" ca="1" si="208"/>
        <v>524.20479584782515</v>
      </c>
      <c r="O33" s="18">
        <f t="shared" ca="1" si="208"/>
        <v>239.71190733772164</v>
      </c>
      <c r="P33" s="18">
        <f t="shared" ca="1" si="208"/>
        <v>0</v>
      </c>
      <c r="Q33" s="18">
        <f t="shared" ca="1" si="208"/>
        <v>344.48846608670647</v>
      </c>
      <c r="R33" s="18">
        <f t="shared" ca="1" si="208"/>
        <v>378.93222416842036</v>
      </c>
      <c r="S33" s="18">
        <f t="shared" ca="1" si="208"/>
        <v>270.53083766957207</v>
      </c>
      <c r="T33" s="18">
        <f t="shared" ca="1" si="208"/>
        <v>0</v>
      </c>
      <c r="U33" s="18">
        <f t="shared" ca="1" si="208"/>
        <v>237.72491746606829</v>
      </c>
      <c r="V33" s="18">
        <f t="shared" ca="1" si="208"/>
        <v>0</v>
      </c>
      <c r="W33" s="18">
        <f t="shared" ca="1" si="208"/>
        <v>0</v>
      </c>
      <c r="X33" s="18">
        <f t="shared" ca="1" si="208"/>
        <v>951.02227602791027</v>
      </c>
      <c r="Y33" s="18">
        <f t="shared" ca="1" si="208"/>
        <v>0</v>
      </c>
      <c r="Z33" s="18">
        <f t="shared" ca="1" si="208"/>
        <v>0</v>
      </c>
      <c r="AA33" s="18">
        <f t="shared" ca="1" si="208"/>
        <v>0</v>
      </c>
      <c r="AB33" s="18">
        <f t="shared" ca="1" si="208"/>
        <v>691.78357981796216</v>
      </c>
      <c r="AC33" s="18">
        <f t="shared" ca="1" si="208"/>
        <v>0</v>
      </c>
      <c r="AD33" s="18">
        <f t="shared" ca="1" si="208"/>
        <v>107.19422154830681</v>
      </c>
      <c r="AE33" s="18">
        <f t="shared" ca="1" si="208"/>
        <v>0</v>
      </c>
      <c r="AF33" s="18">
        <f t="shared" ca="1" si="208"/>
        <v>58.088051804326824</v>
      </c>
      <c r="AG33" s="18">
        <f t="shared" ca="1" si="208"/>
        <v>0</v>
      </c>
      <c r="AH33" s="18">
        <f t="shared" ca="1" si="208"/>
        <v>1401.660102774822</v>
      </c>
      <c r="AI33" s="18">
        <f t="shared" ca="1" si="208"/>
        <v>177.01774091318657</v>
      </c>
      <c r="AJ33" s="18">
        <f t="shared" ca="1" si="208"/>
        <v>0</v>
      </c>
      <c r="AK33" s="18">
        <f t="shared" ca="1" si="208"/>
        <v>0</v>
      </c>
      <c r="AL33" s="18">
        <f t="shared" ca="1" si="208"/>
        <v>0</v>
      </c>
      <c r="AM33" s="18">
        <f t="shared" ca="1" si="208"/>
        <v>0</v>
      </c>
      <c r="AN33" s="18">
        <f t="shared" ca="1" si="208"/>
        <v>0</v>
      </c>
      <c r="AO33" s="18">
        <f t="shared" ca="1" si="208"/>
        <v>381.02526728789235</v>
      </c>
      <c r="AP33" s="18">
        <f t="shared" ca="1" si="208"/>
        <v>0</v>
      </c>
      <c r="AQ33" s="18">
        <f t="shared" ca="1" si="208"/>
        <v>559.07920459504385</v>
      </c>
      <c r="AR33" s="18">
        <f t="shared" ca="1" si="208"/>
        <v>108.88937693437038</v>
      </c>
      <c r="AS33" s="18">
        <f t="shared" ca="1" si="208"/>
        <v>841.53349483840793</v>
      </c>
      <c r="AT33" s="18">
        <f t="shared" ca="1" si="208"/>
        <v>1102.5571590095642</v>
      </c>
      <c r="AU33" s="18">
        <f t="shared" ca="1" si="208"/>
        <v>0</v>
      </c>
      <c r="AV33" s="18">
        <f t="shared" ca="1" si="208"/>
        <v>0</v>
      </c>
      <c r="AW33" s="18">
        <f t="shared" ca="1" si="208"/>
        <v>0</v>
      </c>
      <c r="AX33" s="18">
        <f t="shared" ca="1" si="208"/>
        <v>659.6762442833824</v>
      </c>
      <c r="AY33" s="18">
        <f t="shared" ca="1" si="208"/>
        <v>0</v>
      </c>
      <c r="AZ33" s="18">
        <f t="shared" ca="1" si="208"/>
        <v>191.52861862467762</v>
      </c>
      <c r="BA33" s="18">
        <f t="shared" ca="1" si="208"/>
        <v>1507.9607060184462</v>
      </c>
      <c r="BB33" s="18">
        <f t="shared" ca="1" si="208"/>
        <v>330.73203900203589</v>
      </c>
      <c r="BC33" s="18">
        <f t="shared" ca="1" si="208"/>
        <v>0</v>
      </c>
      <c r="BD33" s="18">
        <f t="shared" ca="1" si="208"/>
        <v>486.59675790254551</v>
      </c>
      <c r="BE33" s="18">
        <f t="shared" ca="1" si="208"/>
        <v>952.68377494120796</v>
      </c>
      <c r="BF33" s="18">
        <f t="shared" ca="1" si="208"/>
        <v>9.8769292165634397</v>
      </c>
      <c r="BG33" s="18">
        <f t="shared" ca="1" si="208"/>
        <v>0</v>
      </c>
      <c r="BH33" s="18">
        <f t="shared" ca="1" si="208"/>
        <v>0</v>
      </c>
      <c r="BI33" s="18">
        <f t="shared" ca="1" si="208"/>
        <v>0</v>
      </c>
      <c r="BJ33" s="18">
        <f t="shared" ca="1" si="208"/>
        <v>0</v>
      </c>
      <c r="BK33" s="18">
        <f t="shared" ca="1" si="208"/>
        <v>236.68720821391616</v>
      </c>
      <c r="BL33" s="18">
        <f t="shared" ca="1" si="208"/>
        <v>0</v>
      </c>
      <c r="BM33" s="18">
        <f t="shared" ca="1" si="208"/>
        <v>0</v>
      </c>
      <c r="BN33" s="18">
        <f t="shared" ca="1" si="208"/>
        <v>0</v>
      </c>
      <c r="BO33" s="18">
        <f t="shared" ca="1" si="208"/>
        <v>0</v>
      </c>
      <c r="BP33" s="18">
        <f t="shared" ca="1" si="208"/>
        <v>0</v>
      </c>
      <c r="BQ33" s="18">
        <f t="shared" ca="1" si="208"/>
        <v>417.77859175216508</v>
      </c>
      <c r="BR33" s="18">
        <f t="shared" ca="1" si="208"/>
        <v>779.17586987692266</v>
      </c>
      <c r="BS33" s="18">
        <f t="shared" ca="1" si="208"/>
        <v>0</v>
      </c>
      <c r="BT33" s="18">
        <f t="shared" ca="1" si="208"/>
        <v>0</v>
      </c>
      <c r="BU33" s="18">
        <f t="shared" ca="1" si="208"/>
        <v>926.13656363940026</v>
      </c>
      <c r="BV33" s="18">
        <f t="shared" ca="1" si="208"/>
        <v>0</v>
      </c>
      <c r="BW33" s="18">
        <f t="shared" ref="BW33:DE33" ca="1" si="209">MAX(BW32-$DH$4,0)</f>
        <v>551.17152837272442</v>
      </c>
      <c r="BX33" s="18">
        <f t="shared" ca="1" si="209"/>
        <v>411.8500328672344</v>
      </c>
      <c r="BY33" s="18">
        <f t="shared" ca="1" si="209"/>
        <v>51.055997079751251</v>
      </c>
      <c r="BZ33" s="18">
        <f t="shared" ca="1" si="209"/>
        <v>0</v>
      </c>
      <c r="CA33" s="18">
        <f t="shared" ca="1" si="209"/>
        <v>170.7084947266485</v>
      </c>
      <c r="CB33" s="18">
        <f t="shared" ca="1" si="209"/>
        <v>331.45334468023066</v>
      </c>
      <c r="CC33" s="18">
        <f t="shared" ca="1" si="209"/>
        <v>0</v>
      </c>
      <c r="CD33" s="18">
        <f t="shared" ca="1" si="209"/>
        <v>379.45357507987501</v>
      </c>
      <c r="CE33" s="18">
        <f t="shared" ca="1" si="209"/>
        <v>241.46866230580781</v>
      </c>
      <c r="CF33" s="18">
        <f t="shared" ca="1" si="209"/>
        <v>0</v>
      </c>
      <c r="CG33" s="18">
        <f t="shared" ca="1" si="209"/>
        <v>0</v>
      </c>
      <c r="CH33" s="18">
        <f t="shared" ca="1" si="209"/>
        <v>0</v>
      </c>
      <c r="CI33" s="18">
        <f t="shared" ca="1" si="209"/>
        <v>0</v>
      </c>
      <c r="CJ33" s="18">
        <f t="shared" ca="1" si="209"/>
        <v>1.6661938682809705</v>
      </c>
      <c r="CK33" s="18">
        <f t="shared" ca="1" si="209"/>
        <v>0</v>
      </c>
      <c r="CL33" s="18">
        <f t="shared" ca="1" si="209"/>
        <v>0</v>
      </c>
      <c r="CM33" s="18">
        <f t="shared" ca="1" si="209"/>
        <v>0</v>
      </c>
      <c r="CN33" s="18">
        <f t="shared" ca="1" si="209"/>
        <v>873.27999403710419</v>
      </c>
      <c r="CO33" s="18">
        <f t="shared" ca="1" si="209"/>
        <v>394.22105760936029</v>
      </c>
      <c r="CP33" s="18">
        <f t="shared" ca="1" si="209"/>
        <v>0</v>
      </c>
      <c r="CQ33" s="18">
        <f t="shared" ca="1" si="209"/>
        <v>0</v>
      </c>
      <c r="CR33" s="18">
        <f t="shared" ca="1" si="209"/>
        <v>0</v>
      </c>
      <c r="CS33" s="18">
        <f t="shared" ca="1" si="209"/>
        <v>0</v>
      </c>
      <c r="CT33" s="18">
        <f t="shared" ca="1" si="209"/>
        <v>71.2675307309255</v>
      </c>
      <c r="CU33" s="18">
        <f t="shared" ca="1" si="209"/>
        <v>751.85293074435685</v>
      </c>
      <c r="CV33" s="18">
        <f t="shared" ca="1" si="209"/>
        <v>0</v>
      </c>
      <c r="CW33" s="18">
        <f t="shared" ca="1" si="209"/>
        <v>0</v>
      </c>
      <c r="CX33" s="18">
        <f t="shared" ca="1" si="209"/>
        <v>962.15640114160124</v>
      </c>
      <c r="CY33" s="18">
        <f t="shared" ca="1" si="209"/>
        <v>444.85702358493654</v>
      </c>
      <c r="CZ33" s="18">
        <f t="shared" ca="1" si="209"/>
        <v>0</v>
      </c>
      <c r="DA33" s="18">
        <f t="shared" ca="1" si="209"/>
        <v>0</v>
      </c>
      <c r="DB33" s="18">
        <f t="shared" ca="1" si="209"/>
        <v>0</v>
      </c>
      <c r="DC33" s="18">
        <f t="shared" ca="1" si="209"/>
        <v>84.907252287004667</v>
      </c>
      <c r="DD33" s="18">
        <f t="shared" ca="1" si="209"/>
        <v>0</v>
      </c>
      <c r="DE33" s="18">
        <f t="shared" ca="1" si="209"/>
        <v>1162.8940183772502</v>
      </c>
      <c r="DG33" s="36" t="s">
        <v>160</v>
      </c>
      <c r="DH33" s="36"/>
      <c r="DI33" s="36"/>
      <c r="DJ33" s="36"/>
    </row>
    <row r="34" spans="1:114" x14ac:dyDescent="0.35">
      <c r="A34" s="16">
        <v>44475</v>
      </c>
      <c r="B34" s="17">
        <v>17646</v>
      </c>
      <c r="C34" s="10"/>
      <c r="D34" s="19">
        <f t="shared" si="0"/>
        <v>-9.9413533765346368E-3</v>
      </c>
      <c r="I34" s="36"/>
      <c r="J34" s="18">
        <f ca="1">J33*EXP(-$DI$5*$DI$7)</f>
        <v>387.49711530739984</v>
      </c>
      <c r="K34" s="18">
        <f t="shared" ref="K34:BV34" ca="1" si="210">K33*EXP(-$DI$5*$DI$7)</f>
        <v>167.23163375299197</v>
      </c>
      <c r="L34" s="18">
        <f t="shared" ca="1" si="210"/>
        <v>0</v>
      </c>
      <c r="M34" s="18">
        <f t="shared" ca="1" si="210"/>
        <v>853.74090632847242</v>
      </c>
      <c r="N34" s="18">
        <f t="shared" ca="1" si="210"/>
        <v>521.94839051347117</v>
      </c>
      <c r="O34" s="18">
        <f t="shared" ca="1" si="210"/>
        <v>238.6800830760794</v>
      </c>
      <c r="P34" s="18">
        <f t="shared" ca="1" si="210"/>
        <v>0</v>
      </c>
      <c r="Q34" s="18">
        <f t="shared" ca="1" si="210"/>
        <v>343.00563796560107</v>
      </c>
      <c r="R34" s="18">
        <f t="shared" ca="1" si="210"/>
        <v>377.30113513843662</v>
      </c>
      <c r="S34" s="18">
        <f t="shared" ca="1" si="210"/>
        <v>269.3663553335461</v>
      </c>
      <c r="T34" s="18">
        <f t="shared" ca="1" si="210"/>
        <v>0</v>
      </c>
      <c r="U34" s="18">
        <f t="shared" ca="1" si="210"/>
        <v>236.70164607265849</v>
      </c>
      <c r="V34" s="18">
        <f t="shared" ca="1" si="210"/>
        <v>0</v>
      </c>
      <c r="W34" s="18">
        <f t="shared" ca="1" si="210"/>
        <v>0</v>
      </c>
      <c r="X34" s="18">
        <f t="shared" ca="1" si="210"/>
        <v>946.9286627040409</v>
      </c>
      <c r="Y34" s="18">
        <f t="shared" ca="1" si="210"/>
        <v>0</v>
      </c>
      <c r="Z34" s="18">
        <f t="shared" ca="1" si="210"/>
        <v>0</v>
      </c>
      <c r="AA34" s="18">
        <f t="shared" ca="1" si="210"/>
        <v>0</v>
      </c>
      <c r="AB34" s="18">
        <f t="shared" ca="1" si="210"/>
        <v>688.80584254412599</v>
      </c>
      <c r="AC34" s="18">
        <f t="shared" ca="1" si="210"/>
        <v>0</v>
      </c>
      <c r="AD34" s="18">
        <f t="shared" ca="1" si="210"/>
        <v>106.73281101709958</v>
      </c>
      <c r="AE34" s="18">
        <f t="shared" ca="1" si="210"/>
        <v>0</v>
      </c>
      <c r="AF34" s="18">
        <f t="shared" ca="1" si="210"/>
        <v>57.838015576135646</v>
      </c>
      <c r="AG34" s="18">
        <f t="shared" ca="1" si="210"/>
        <v>0</v>
      </c>
      <c r="AH34" s="18">
        <f t="shared" ca="1" si="210"/>
        <v>1395.6267483341458</v>
      </c>
      <c r="AI34" s="18">
        <f t="shared" ca="1" si="210"/>
        <v>176.25577959952517</v>
      </c>
      <c r="AJ34" s="18">
        <f t="shared" ca="1" si="210"/>
        <v>0</v>
      </c>
      <c r="AK34" s="18">
        <f t="shared" ca="1" si="210"/>
        <v>0</v>
      </c>
      <c r="AL34" s="18">
        <f t="shared" ca="1" si="210"/>
        <v>0</v>
      </c>
      <c r="AM34" s="18">
        <f t="shared" ca="1" si="210"/>
        <v>0</v>
      </c>
      <c r="AN34" s="18">
        <f t="shared" ca="1" si="210"/>
        <v>0</v>
      </c>
      <c r="AO34" s="18">
        <f t="shared" ca="1" si="210"/>
        <v>379.38516889039192</v>
      </c>
      <c r="AP34" s="18">
        <f t="shared" ca="1" si="210"/>
        <v>0</v>
      </c>
      <c r="AQ34" s="18">
        <f t="shared" ca="1" si="210"/>
        <v>556.67268464412587</v>
      </c>
      <c r="AR34" s="18">
        <f t="shared" ca="1" si="210"/>
        <v>108.42066971742892</v>
      </c>
      <c r="AS34" s="18">
        <f t="shared" ca="1" si="210"/>
        <v>837.9111688279794</v>
      </c>
      <c r="AT34" s="18">
        <f t="shared" ca="1" si="210"/>
        <v>1097.8112736709998</v>
      </c>
      <c r="AU34" s="18">
        <f t="shared" ca="1" si="210"/>
        <v>0</v>
      </c>
      <c r="AV34" s="18">
        <f t="shared" ca="1" si="210"/>
        <v>0</v>
      </c>
      <c r="AW34" s="18">
        <f t="shared" ca="1" si="210"/>
        <v>0</v>
      </c>
      <c r="AX34" s="18">
        <f t="shared" ca="1" si="210"/>
        <v>656.83671094004433</v>
      </c>
      <c r="AY34" s="18">
        <f t="shared" ca="1" si="210"/>
        <v>0</v>
      </c>
      <c r="AZ34" s="18">
        <f t="shared" ca="1" si="210"/>
        <v>190.70419618488057</v>
      </c>
      <c r="BA34" s="18">
        <f t="shared" ca="1" si="210"/>
        <v>1501.469787568238</v>
      </c>
      <c r="BB34" s="18">
        <f t="shared" ca="1" si="210"/>
        <v>329.30842452357808</v>
      </c>
      <c r="BC34" s="18">
        <f t="shared" ca="1" si="210"/>
        <v>0</v>
      </c>
      <c r="BD34" s="18">
        <f t="shared" ca="1" si="210"/>
        <v>484.50223391324306</v>
      </c>
      <c r="BE34" s="18">
        <f t="shared" ca="1" si="210"/>
        <v>948.58300980369495</v>
      </c>
      <c r="BF34" s="18">
        <f t="shared" ca="1" si="210"/>
        <v>9.8344146193147708</v>
      </c>
      <c r="BG34" s="18">
        <f t="shared" ca="1" si="210"/>
        <v>0</v>
      </c>
      <c r="BH34" s="18">
        <f t="shared" ca="1" si="210"/>
        <v>0</v>
      </c>
      <c r="BI34" s="18">
        <f t="shared" ca="1" si="210"/>
        <v>0</v>
      </c>
      <c r="BJ34" s="18">
        <f t="shared" ca="1" si="210"/>
        <v>0</v>
      </c>
      <c r="BK34" s="18">
        <f t="shared" ca="1" si="210"/>
        <v>235.66840357226181</v>
      </c>
      <c r="BL34" s="18">
        <f t="shared" ca="1" si="210"/>
        <v>0</v>
      </c>
      <c r="BM34" s="18">
        <f t="shared" ca="1" si="210"/>
        <v>0</v>
      </c>
      <c r="BN34" s="18">
        <f t="shared" ca="1" si="210"/>
        <v>0</v>
      </c>
      <c r="BO34" s="18">
        <f t="shared" ca="1" si="210"/>
        <v>0</v>
      </c>
      <c r="BP34" s="18">
        <f t="shared" ca="1" si="210"/>
        <v>0</v>
      </c>
      <c r="BQ34" s="18">
        <f t="shared" ca="1" si="210"/>
        <v>415.98029106801386</v>
      </c>
      <c r="BR34" s="18">
        <f t="shared" ca="1" si="210"/>
        <v>775.82195819370986</v>
      </c>
      <c r="BS34" s="18">
        <f t="shared" ca="1" si="210"/>
        <v>0</v>
      </c>
      <c r="BT34" s="18">
        <f t="shared" ca="1" si="210"/>
        <v>0</v>
      </c>
      <c r="BU34" s="18">
        <f t="shared" ca="1" si="210"/>
        <v>922.15006924047668</v>
      </c>
      <c r="BV34" s="18">
        <f t="shared" ca="1" si="210"/>
        <v>0</v>
      </c>
      <c r="BW34" s="18">
        <f t="shared" ref="BW34:DE34" ca="1" si="211">BW33*EXP(-$DI$5*$DI$7)</f>
        <v>548.79904649805405</v>
      </c>
      <c r="BX34" s="18">
        <f t="shared" ca="1" si="211"/>
        <v>410.07725127790826</v>
      </c>
      <c r="BY34" s="18">
        <f t="shared" ca="1" si="211"/>
        <v>50.836229872213231</v>
      </c>
      <c r="BZ34" s="18">
        <f t="shared" ca="1" si="211"/>
        <v>0</v>
      </c>
      <c r="CA34" s="18">
        <f t="shared" ca="1" si="211"/>
        <v>169.97369115145844</v>
      </c>
      <c r="CB34" s="18">
        <f t="shared" ca="1" si="211"/>
        <v>330.02662538855316</v>
      </c>
      <c r="CC34" s="18">
        <f t="shared" ca="1" si="211"/>
        <v>0</v>
      </c>
      <c r="CD34" s="18">
        <f t="shared" ca="1" si="211"/>
        <v>377.82024192891606</v>
      </c>
      <c r="CE34" s="18">
        <f t="shared" ca="1" si="211"/>
        <v>240.42927620705049</v>
      </c>
      <c r="CF34" s="18">
        <f t="shared" ca="1" si="211"/>
        <v>0</v>
      </c>
      <c r="CG34" s="18">
        <f t="shared" ca="1" si="211"/>
        <v>0</v>
      </c>
      <c r="CH34" s="18">
        <f t="shared" ca="1" si="211"/>
        <v>0</v>
      </c>
      <c r="CI34" s="18">
        <f t="shared" ca="1" si="211"/>
        <v>0</v>
      </c>
      <c r="CJ34" s="18">
        <f t="shared" ca="1" si="211"/>
        <v>1.6590218455100294</v>
      </c>
      <c r="CK34" s="18">
        <f t="shared" ca="1" si="211"/>
        <v>0</v>
      </c>
      <c r="CL34" s="18">
        <f t="shared" ca="1" si="211"/>
        <v>0</v>
      </c>
      <c r="CM34" s="18">
        <f t="shared" ca="1" si="211"/>
        <v>0</v>
      </c>
      <c r="CN34" s="18">
        <f t="shared" ca="1" si="211"/>
        <v>869.52101729263734</v>
      </c>
      <c r="CO34" s="18">
        <f t="shared" ca="1" si="211"/>
        <v>392.5241587935725</v>
      </c>
      <c r="CP34" s="18">
        <f t="shared" ca="1" si="211"/>
        <v>0</v>
      </c>
      <c r="CQ34" s="18">
        <f t="shared" ca="1" si="211"/>
        <v>0</v>
      </c>
      <c r="CR34" s="18">
        <f t="shared" ca="1" si="211"/>
        <v>0</v>
      </c>
      <c r="CS34" s="18">
        <f t="shared" ca="1" si="211"/>
        <v>0</v>
      </c>
      <c r="CT34" s="18">
        <f t="shared" ca="1" si="211"/>
        <v>70.960764295781743</v>
      </c>
      <c r="CU34" s="18">
        <f t="shared" ca="1" si="211"/>
        <v>748.61662886955719</v>
      </c>
      <c r="CV34" s="18">
        <f t="shared" ca="1" si="211"/>
        <v>0</v>
      </c>
      <c r="CW34" s="18">
        <f t="shared" ca="1" si="211"/>
        <v>0</v>
      </c>
      <c r="CX34" s="18">
        <f t="shared" ca="1" si="211"/>
        <v>958.01486170278804</v>
      </c>
      <c r="CY34" s="18">
        <f t="shared" ca="1" si="211"/>
        <v>442.94216555808765</v>
      </c>
      <c r="CZ34" s="18">
        <f t="shared" ca="1" si="211"/>
        <v>0</v>
      </c>
      <c r="DA34" s="18">
        <f t="shared" ca="1" si="211"/>
        <v>0</v>
      </c>
      <c r="DB34" s="18">
        <f t="shared" ca="1" si="211"/>
        <v>0</v>
      </c>
      <c r="DC34" s="18">
        <f t="shared" ca="1" si="211"/>
        <v>84.541774560544951</v>
      </c>
      <c r="DD34" s="18">
        <f t="shared" ca="1" si="211"/>
        <v>0</v>
      </c>
      <c r="DE34" s="18">
        <f t="shared" ca="1" si="211"/>
        <v>1157.8884169650942</v>
      </c>
      <c r="DG34" s="28" t="s">
        <v>149</v>
      </c>
      <c r="DH34" s="27">
        <f ca="1">AVERAGE(J34:DE34)</f>
        <v>230.73352400849839</v>
      </c>
      <c r="DI34" s="31">
        <v>0.97499999999999998</v>
      </c>
      <c r="DJ34" s="29">
        <f>_xlfn.NORM.S.INV(DI34)</f>
        <v>1.9599639845400536</v>
      </c>
    </row>
    <row r="35" spans="1:114" x14ac:dyDescent="0.35">
      <c r="A35" s="16">
        <v>44476</v>
      </c>
      <c r="B35" s="17">
        <v>17790.349999999999</v>
      </c>
      <c r="C35" s="10"/>
      <c r="D35" s="19">
        <f t="shared" si="0"/>
        <v>8.1470466584434558E-3</v>
      </c>
      <c r="I35" s="13"/>
      <c r="DG35" s="15" t="s">
        <v>136</v>
      </c>
      <c r="DH35" s="15">
        <f ca="1">_xlfn.STDEV.S(J34:DE34)</f>
        <v>354.37583694947602</v>
      </c>
      <c r="DI35" s="20" t="s">
        <v>150</v>
      </c>
      <c r="DJ35" s="32">
        <f ca="1">DH34-DJ34*DH36</f>
        <v>161.27713626727723</v>
      </c>
    </row>
    <row r="36" spans="1:114" x14ac:dyDescent="0.35">
      <c r="A36" s="16">
        <v>44477</v>
      </c>
      <c r="B36" s="17">
        <v>17895.2</v>
      </c>
      <c r="C36" s="10"/>
      <c r="D36" s="19">
        <f t="shared" si="0"/>
        <v>5.8763450034090793E-3</v>
      </c>
      <c r="F36" s="37" t="s">
        <v>165</v>
      </c>
      <c r="G36" s="20" t="s">
        <v>138</v>
      </c>
      <c r="H36" s="33">
        <v>24195</v>
      </c>
      <c r="I36" s="36" t="s">
        <v>162</v>
      </c>
      <c r="J36" s="18" cm="1">
        <f t="array" aca="1" ref="J36" ca="1">IF(MAX(J2:J24&gt;$H$38),0,1)</f>
        <v>1</v>
      </c>
      <c r="K36" s="18" cm="1">
        <f t="array" aca="1" ref="K36" ca="1">IF(MAX(K2:K24&gt;$H$38),0,1)</f>
        <v>1</v>
      </c>
      <c r="L36" s="18" cm="1">
        <f t="array" aca="1" ref="L36" ca="1">IF(MAX(L2:L24&gt;$H$38),0,1)</f>
        <v>1</v>
      </c>
      <c r="M36" s="18" cm="1">
        <f t="array" aca="1" ref="M36" ca="1">IF(MAX(M2:M24&gt;$H$38),0,1)</f>
        <v>1</v>
      </c>
      <c r="N36" s="18" cm="1">
        <f t="array" aca="1" ref="N36" ca="1">IF(MAX(N2:N24&gt;$H$38),0,1)</f>
        <v>1</v>
      </c>
      <c r="O36" s="18" cm="1">
        <f t="array" aca="1" ref="O36" ca="1">IF(MAX(O2:O24&gt;$H$38),0,1)</f>
        <v>1</v>
      </c>
      <c r="P36" s="18" cm="1">
        <f t="array" aca="1" ref="P36" ca="1">IF(MAX(P2:P24&gt;$H$38),0,1)</f>
        <v>1</v>
      </c>
      <c r="Q36" s="18" cm="1">
        <f t="array" aca="1" ref="Q36" ca="1">IF(MAX(Q2:Q24&gt;$H$38),0,1)</f>
        <v>1</v>
      </c>
      <c r="R36" s="18" cm="1">
        <f t="array" aca="1" ref="R36" ca="1">IF(MAX(R2:R24&gt;$H$38),0,1)</f>
        <v>1</v>
      </c>
      <c r="S36" s="18" cm="1">
        <f t="array" aca="1" ref="S36" ca="1">IF(MAX(S2:S24&gt;$H$38),0,1)</f>
        <v>1</v>
      </c>
      <c r="T36" s="18" cm="1">
        <f t="array" aca="1" ref="T36" ca="1">IF(MAX(T2:T24&gt;$H$38),0,1)</f>
        <v>1</v>
      </c>
      <c r="U36" s="18" cm="1">
        <f t="array" aca="1" ref="U36" ca="1">IF(MAX(U2:U24&gt;$H$38),0,1)</f>
        <v>1</v>
      </c>
      <c r="V36" s="18" cm="1">
        <f t="array" aca="1" ref="V36" ca="1">IF(MAX(V2:V24&gt;$H$38),0,1)</f>
        <v>1</v>
      </c>
      <c r="W36" s="18" cm="1">
        <f t="array" aca="1" ref="W36" ca="1">IF(MAX(W2:W24&gt;$H$38),0,1)</f>
        <v>1</v>
      </c>
      <c r="X36" s="18" cm="1">
        <f t="array" aca="1" ref="X36" ca="1">IF(MAX(X2:X24&gt;$H$38),0,1)</f>
        <v>1</v>
      </c>
      <c r="Y36" s="18" cm="1">
        <f t="array" aca="1" ref="Y36" ca="1">IF(MAX(Y2:Y24&gt;$H$38),0,1)</f>
        <v>1</v>
      </c>
      <c r="Z36" s="18" cm="1">
        <f t="array" aca="1" ref="Z36" ca="1">IF(MAX(Z2:Z24&gt;$H$38),0,1)</f>
        <v>1</v>
      </c>
      <c r="AA36" s="18" cm="1">
        <f t="array" aca="1" ref="AA36" ca="1">IF(MAX(AA2:AA24&gt;$H$38),0,1)</f>
        <v>1</v>
      </c>
      <c r="AB36" s="18" cm="1">
        <f t="array" aca="1" ref="AB36" ca="1">IF(MAX(AB2:AB24&gt;$H$38),0,1)</f>
        <v>1</v>
      </c>
      <c r="AC36" s="18" cm="1">
        <f t="array" aca="1" ref="AC36" ca="1">IF(MAX(AC2:AC24&gt;$H$38),0,1)</f>
        <v>1</v>
      </c>
      <c r="AD36" s="18" cm="1">
        <f t="array" aca="1" ref="AD36" ca="1">IF(MAX(AD2:AD24&gt;$H$38),0,1)</f>
        <v>1</v>
      </c>
      <c r="AE36" s="18" cm="1">
        <f t="array" aca="1" ref="AE36" ca="1">IF(MAX(AE2:AE24&gt;$H$38),0,1)</f>
        <v>1</v>
      </c>
      <c r="AF36" s="18" cm="1">
        <f t="array" aca="1" ref="AF36" ca="1">IF(MAX(AF2:AF24&gt;$H$38),0,1)</f>
        <v>1</v>
      </c>
      <c r="AG36" s="18" cm="1">
        <f t="array" aca="1" ref="AG36" ca="1">IF(MAX(AG2:AG24&gt;$H$38),0,1)</f>
        <v>1</v>
      </c>
      <c r="AH36" s="18" cm="1">
        <f t="array" aca="1" ref="AH36" ca="1">IF(MAX(AH2:AH24&gt;$H$38),0,1)</f>
        <v>1</v>
      </c>
      <c r="AI36" s="18" cm="1">
        <f t="array" aca="1" ref="AI36" ca="1">IF(MAX(AI2:AI24&gt;$H$38),0,1)</f>
        <v>1</v>
      </c>
      <c r="AJ36" s="18" cm="1">
        <f t="array" aca="1" ref="AJ36" ca="1">IF(MAX(AJ2:AJ24&gt;$H$38),0,1)</f>
        <v>1</v>
      </c>
      <c r="AK36" s="18" cm="1">
        <f t="array" aca="1" ref="AK36" ca="1">IF(MAX(AK2:AK24&gt;$H$38),0,1)</f>
        <v>1</v>
      </c>
      <c r="AL36" s="18" cm="1">
        <f t="array" aca="1" ref="AL36" ca="1">IF(MAX(AL2:AL24&gt;$H$38),0,1)</f>
        <v>1</v>
      </c>
      <c r="AM36" s="18" cm="1">
        <f t="array" aca="1" ref="AM36" ca="1">IF(MAX(AM2:AM24&gt;$H$38),0,1)</f>
        <v>1</v>
      </c>
      <c r="AN36" s="18" cm="1">
        <f t="array" aca="1" ref="AN36" ca="1">IF(MAX(AN2:AN24&gt;$H$38),0,1)</f>
        <v>1</v>
      </c>
      <c r="AO36" s="18" cm="1">
        <f t="array" aca="1" ref="AO36" ca="1">IF(MAX(AO2:AO24&gt;$H$38),0,1)</f>
        <v>1</v>
      </c>
      <c r="AP36" s="18" cm="1">
        <f t="array" aca="1" ref="AP36" ca="1">IF(MAX(AP2:AP24&gt;$H$38),0,1)</f>
        <v>1</v>
      </c>
      <c r="AQ36" s="18" cm="1">
        <f t="array" aca="1" ref="AQ36" ca="1">IF(MAX(AQ2:AQ24&gt;$H$38),0,1)</f>
        <v>1</v>
      </c>
      <c r="AR36" s="18" cm="1">
        <f t="array" aca="1" ref="AR36" ca="1">IF(MAX(AR2:AR24&gt;$H$38),0,1)</f>
        <v>1</v>
      </c>
      <c r="AS36" s="18" cm="1">
        <f t="array" aca="1" ref="AS36" ca="1">IF(MAX(AS2:AS24&gt;$H$38),0,1)</f>
        <v>1</v>
      </c>
      <c r="AT36" s="18" cm="1">
        <f t="array" aca="1" ref="AT36" ca="1">IF(MAX(AT2:AT24&gt;$H$38),0,1)</f>
        <v>1</v>
      </c>
      <c r="AU36" s="18" cm="1">
        <f t="array" aca="1" ref="AU36" ca="1">IF(MAX(AU2:AU24&gt;$H$38),0,1)</f>
        <v>1</v>
      </c>
      <c r="AV36" s="18" cm="1">
        <f t="array" aca="1" ref="AV36" ca="1">IF(MAX(AV2:AV24&gt;$H$38),0,1)</f>
        <v>1</v>
      </c>
      <c r="AW36" s="18" cm="1">
        <f t="array" aca="1" ref="AW36" ca="1">IF(MAX(AW2:AW24&gt;$H$38),0,1)</f>
        <v>1</v>
      </c>
      <c r="AX36" s="18" cm="1">
        <f t="array" aca="1" ref="AX36" ca="1">IF(MAX(AX2:AX24&gt;$H$38),0,1)</f>
        <v>1</v>
      </c>
      <c r="AY36" s="18" cm="1">
        <f t="array" aca="1" ref="AY36" ca="1">IF(MAX(AY2:AY24&gt;$H$38),0,1)</f>
        <v>1</v>
      </c>
      <c r="AZ36" s="18" cm="1">
        <f t="array" aca="1" ref="AZ36" ca="1">IF(MAX(AZ2:AZ24&gt;$H$38),0,1)</f>
        <v>1</v>
      </c>
      <c r="BA36" s="18" cm="1">
        <f t="array" aca="1" ref="BA36" ca="1">IF(MAX(BA2:BA24&gt;$H$38),0,1)</f>
        <v>1</v>
      </c>
      <c r="BB36" s="18" cm="1">
        <f t="array" aca="1" ref="BB36" ca="1">IF(MAX(BB2:BB24&gt;$H$38),0,1)</f>
        <v>1</v>
      </c>
      <c r="BC36" s="18" cm="1">
        <f t="array" aca="1" ref="BC36" ca="1">IF(MAX(BC2:BC24&gt;$H$38),0,1)</f>
        <v>1</v>
      </c>
      <c r="BD36" s="18" cm="1">
        <f t="array" aca="1" ref="BD36" ca="1">IF(MAX(BD2:BD24&gt;$H$38),0,1)</f>
        <v>1</v>
      </c>
      <c r="BE36" s="18" cm="1">
        <f t="array" aca="1" ref="BE36" ca="1">IF(MAX(BE2:BE24&gt;$H$38),0,1)</f>
        <v>1</v>
      </c>
      <c r="BF36" s="18" cm="1">
        <f t="array" aca="1" ref="BF36" ca="1">IF(MAX(BF2:BF24&gt;$H$38),0,1)</f>
        <v>1</v>
      </c>
      <c r="BG36" s="18" cm="1">
        <f t="array" aca="1" ref="BG36" ca="1">IF(MAX(BG2:BG24&gt;$H$38),0,1)</f>
        <v>1</v>
      </c>
      <c r="BH36" s="18" cm="1">
        <f t="array" aca="1" ref="BH36" ca="1">IF(MAX(BH2:BH24&gt;$H$38),0,1)</f>
        <v>1</v>
      </c>
      <c r="BI36" s="18" cm="1">
        <f t="array" aca="1" ref="BI36" ca="1">IF(MAX(BI2:BI24&gt;$H$38),0,1)</f>
        <v>1</v>
      </c>
      <c r="BJ36" s="18" cm="1">
        <f t="array" aca="1" ref="BJ36" ca="1">IF(MAX(BJ2:BJ24&gt;$H$38),0,1)</f>
        <v>1</v>
      </c>
      <c r="BK36" s="18" cm="1">
        <f t="array" aca="1" ref="BK36" ca="1">IF(MAX(BK2:BK24&gt;$H$38),0,1)</f>
        <v>1</v>
      </c>
      <c r="BL36" s="18" cm="1">
        <f t="array" aca="1" ref="BL36" ca="1">IF(MAX(BL2:BL24&gt;$H$38),0,1)</f>
        <v>1</v>
      </c>
      <c r="BM36" s="18" cm="1">
        <f t="array" aca="1" ref="BM36" ca="1">IF(MAX(BM2:BM24&gt;$H$38),0,1)</f>
        <v>1</v>
      </c>
      <c r="BN36" s="18" cm="1">
        <f t="array" aca="1" ref="BN36" ca="1">IF(MAX(BN2:BN24&gt;$H$38),0,1)</f>
        <v>1</v>
      </c>
      <c r="BO36" s="18" cm="1">
        <f t="array" aca="1" ref="BO36" ca="1">IF(MAX(BO2:BO24&gt;$H$38),0,1)</f>
        <v>1</v>
      </c>
      <c r="BP36" s="18" cm="1">
        <f t="array" aca="1" ref="BP36" ca="1">IF(MAX(BP2:BP24&gt;$H$38),0,1)</f>
        <v>1</v>
      </c>
      <c r="BQ36" s="18" cm="1">
        <f t="array" aca="1" ref="BQ36" ca="1">IF(MAX(BQ2:BQ24&gt;$H$38),0,1)</f>
        <v>1</v>
      </c>
      <c r="BR36" s="18" cm="1">
        <f t="array" aca="1" ref="BR36" ca="1">IF(MAX(BR2:BR24&gt;$H$38),0,1)</f>
        <v>1</v>
      </c>
      <c r="BS36" s="18" cm="1">
        <f t="array" aca="1" ref="BS36" ca="1">IF(MAX(BS2:BS24&gt;$H$38),0,1)</f>
        <v>1</v>
      </c>
      <c r="BT36" s="18" cm="1">
        <f t="array" aca="1" ref="BT36" ca="1">IF(MAX(BT2:BT24&gt;$H$38),0,1)</f>
        <v>1</v>
      </c>
      <c r="BU36" s="18" cm="1">
        <f t="array" aca="1" ref="BU36" ca="1">IF(MAX(BU2:BU24&gt;$H$38),0,1)</f>
        <v>1</v>
      </c>
      <c r="BV36" s="18" cm="1">
        <f t="array" aca="1" ref="BV36" ca="1">IF(MAX(BV2:BV24&gt;$H$38),0,1)</f>
        <v>1</v>
      </c>
      <c r="BW36" s="18" cm="1">
        <f t="array" aca="1" ref="BW36" ca="1">IF(MAX(BW2:BW24&gt;$H$38),0,1)</f>
        <v>1</v>
      </c>
      <c r="BX36" s="18" cm="1">
        <f t="array" aca="1" ref="BX36" ca="1">IF(MAX(BX2:BX24&gt;$H$38),0,1)</f>
        <v>1</v>
      </c>
      <c r="BY36" s="18" cm="1">
        <f t="array" aca="1" ref="BY36" ca="1">IF(MAX(BY2:BY24&gt;$H$38),0,1)</f>
        <v>1</v>
      </c>
      <c r="BZ36" s="18" cm="1">
        <f t="array" aca="1" ref="BZ36" ca="1">IF(MAX(BZ2:BZ24&gt;$H$38),0,1)</f>
        <v>1</v>
      </c>
      <c r="CA36" s="18" cm="1">
        <f t="array" aca="1" ref="CA36" ca="1">IF(MAX(CA2:CA24&gt;$H$38),0,1)</f>
        <v>1</v>
      </c>
      <c r="CB36" s="18" cm="1">
        <f t="array" aca="1" ref="CB36" ca="1">IF(MAX(CB2:CB24&gt;$H$38),0,1)</f>
        <v>1</v>
      </c>
      <c r="CC36" s="18" cm="1">
        <f t="array" aca="1" ref="CC36" ca="1">IF(MAX(CC2:CC24&gt;$H$38),0,1)</f>
        <v>1</v>
      </c>
      <c r="CD36" s="18" cm="1">
        <f t="array" aca="1" ref="CD36" ca="1">IF(MAX(CD2:CD24&gt;$H$38),0,1)</f>
        <v>1</v>
      </c>
      <c r="CE36" s="18" cm="1">
        <f t="array" aca="1" ref="CE36" ca="1">IF(MAX(CE2:CE24&gt;$H$38),0,1)</f>
        <v>1</v>
      </c>
      <c r="CF36" s="18" cm="1">
        <f t="array" aca="1" ref="CF36" ca="1">IF(MAX(CF2:CF24&gt;$H$38),0,1)</f>
        <v>1</v>
      </c>
      <c r="CG36" s="18" cm="1">
        <f t="array" aca="1" ref="CG36" ca="1">IF(MAX(CG2:CG24&gt;$H$38),0,1)</f>
        <v>1</v>
      </c>
      <c r="CH36" s="18" cm="1">
        <f t="array" aca="1" ref="CH36" ca="1">IF(MAX(CH2:CH24&gt;$H$38),0,1)</f>
        <v>1</v>
      </c>
      <c r="CI36" s="18" cm="1">
        <f t="array" aca="1" ref="CI36" ca="1">IF(MAX(CI2:CI24&gt;$H$38),0,1)</f>
        <v>1</v>
      </c>
      <c r="CJ36" s="18" cm="1">
        <f t="array" aca="1" ref="CJ36" ca="1">IF(MAX(CJ2:CJ24&gt;$H$38),0,1)</f>
        <v>1</v>
      </c>
      <c r="CK36" s="18" cm="1">
        <f t="array" aca="1" ref="CK36" ca="1">IF(MAX(CK2:CK24&gt;$H$38),0,1)</f>
        <v>1</v>
      </c>
      <c r="CL36" s="18" cm="1">
        <f t="array" aca="1" ref="CL36" ca="1">IF(MAX(CL2:CL24&gt;$H$38),0,1)</f>
        <v>1</v>
      </c>
      <c r="CM36" s="18" cm="1">
        <f t="array" aca="1" ref="CM36" ca="1">IF(MAX(CM2:CM24&gt;$H$38),0,1)</f>
        <v>1</v>
      </c>
      <c r="CN36" s="18" cm="1">
        <f t="array" aca="1" ref="CN36" ca="1">IF(MAX(CN2:CN24&gt;$H$38),0,1)</f>
        <v>1</v>
      </c>
      <c r="CO36" s="18" cm="1">
        <f t="array" aca="1" ref="CO36" ca="1">IF(MAX(CO2:CO24&gt;$H$38),0,1)</f>
        <v>1</v>
      </c>
      <c r="CP36" s="18" cm="1">
        <f t="array" aca="1" ref="CP36" ca="1">IF(MAX(CP2:CP24&gt;$H$38),0,1)</f>
        <v>1</v>
      </c>
      <c r="CQ36" s="18" cm="1">
        <f t="array" aca="1" ref="CQ36" ca="1">IF(MAX(CQ2:CQ24&gt;$H$38),0,1)</f>
        <v>1</v>
      </c>
      <c r="CR36" s="18" cm="1">
        <f t="array" aca="1" ref="CR36" ca="1">IF(MAX(CR2:CR24&gt;$H$38),0,1)</f>
        <v>1</v>
      </c>
      <c r="CS36" s="18" cm="1">
        <f t="array" aca="1" ref="CS36" ca="1">IF(MAX(CS2:CS24&gt;$H$38),0,1)</f>
        <v>1</v>
      </c>
      <c r="CT36" s="18" cm="1">
        <f t="array" aca="1" ref="CT36" ca="1">IF(MAX(CT2:CT24&gt;$H$38),0,1)</f>
        <v>1</v>
      </c>
      <c r="CU36" s="18" cm="1">
        <f t="array" aca="1" ref="CU36" ca="1">IF(MAX(CU2:CU24&gt;$H$38),0,1)</f>
        <v>1</v>
      </c>
      <c r="CV36" s="18" cm="1">
        <f t="array" aca="1" ref="CV36" ca="1">IF(MAX(CV2:CV24&gt;$H$38),0,1)</f>
        <v>1</v>
      </c>
      <c r="CW36" s="18" cm="1">
        <f t="array" aca="1" ref="CW36" ca="1">IF(MAX(CW2:CW24&gt;$H$38),0,1)</f>
        <v>1</v>
      </c>
      <c r="CX36" s="18" cm="1">
        <f t="array" aca="1" ref="CX36" ca="1">IF(MAX(CX2:CX24&gt;$H$38),0,1)</f>
        <v>1</v>
      </c>
      <c r="CY36" s="18" cm="1">
        <f t="array" aca="1" ref="CY36" ca="1">IF(MAX(CY2:CY24&gt;$H$38),0,1)</f>
        <v>1</v>
      </c>
      <c r="CZ36" s="18" cm="1">
        <f t="array" aca="1" ref="CZ36" ca="1">IF(MAX(CZ2:CZ24&gt;$H$38),0,1)</f>
        <v>1</v>
      </c>
      <c r="DA36" s="18" cm="1">
        <f t="array" aca="1" ref="DA36" ca="1">IF(MAX(DA2:DA24&gt;$H$38),0,1)</f>
        <v>1</v>
      </c>
      <c r="DB36" s="18" cm="1">
        <f t="array" aca="1" ref="DB36" ca="1">IF(MAX(DB2:DB24&gt;$H$38),0,1)</f>
        <v>1</v>
      </c>
      <c r="DC36" s="18" cm="1">
        <f t="array" aca="1" ref="DC36" ca="1">IF(MAX(DC2:DC24&gt;$H$38),0,1)</f>
        <v>1</v>
      </c>
      <c r="DD36" s="18" cm="1">
        <f t="array" aca="1" ref="DD36" ca="1">IF(MAX(DD2:DD24&gt;$H$38),0,1)</f>
        <v>1</v>
      </c>
      <c r="DE36" s="18" cm="1">
        <f t="array" aca="1" ref="DE36" ca="1">IF(MAX(DE2:DE24&gt;$H$38),0,1)</f>
        <v>1</v>
      </c>
      <c r="DG36" s="15" t="s">
        <v>137</v>
      </c>
      <c r="DH36" s="15">
        <f ca="1">DH35/SQRT(100)</f>
        <v>35.437583694947605</v>
      </c>
      <c r="DI36" s="20" t="s">
        <v>151</v>
      </c>
      <c r="DJ36" s="32">
        <f ca="1">DH34+DJ34*DH36</f>
        <v>300.18991174971956</v>
      </c>
    </row>
    <row r="37" spans="1:114" x14ac:dyDescent="0.35">
      <c r="A37" s="16">
        <v>44480</v>
      </c>
      <c r="B37" s="17">
        <v>17945.95</v>
      </c>
      <c r="C37" s="10"/>
      <c r="D37" s="19">
        <f t="shared" si="0"/>
        <v>2.831942274032983E-3</v>
      </c>
      <c r="F37" s="37"/>
      <c r="G37" s="20" t="s">
        <v>139</v>
      </c>
      <c r="H37" s="33">
        <v>24200</v>
      </c>
      <c r="I37" s="36"/>
      <c r="J37" s="18">
        <f ca="1">MAX(J24-$H$37,0)*J36</f>
        <v>229.54165749626191</v>
      </c>
      <c r="K37" s="18">
        <f t="shared" ref="K37:BV37" ca="1" si="212">MAX(K24-$H$37,0)*K36</f>
        <v>0</v>
      </c>
      <c r="L37" s="18">
        <f t="shared" ca="1" si="212"/>
        <v>0</v>
      </c>
      <c r="M37" s="18">
        <f t="shared" ca="1" si="212"/>
        <v>786.37585886240049</v>
      </c>
      <c r="N37" s="18">
        <f t="shared" ca="1" si="212"/>
        <v>201.4879817856563</v>
      </c>
      <c r="O37" s="18">
        <f t="shared" ca="1" si="212"/>
        <v>699.83402709928123</v>
      </c>
      <c r="P37" s="18">
        <f t="shared" ca="1" si="212"/>
        <v>0</v>
      </c>
      <c r="Q37" s="18">
        <f t="shared" ca="1" si="212"/>
        <v>1614.4552842046396</v>
      </c>
      <c r="R37" s="18">
        <f t="shared" ca="1" si="212"/>
        <v>909.27110203270786</v>
      </c>
      <c r="S37" s="18">
        <f t="shared" ca="1" si="212"/>
        <v>620.17774664334502</v>
      </c>
      <c r="T37" s="18">
        <f t="shared" ca="1" si="212"/>
        <v>0</v>
      </c>
      <c r="U37" s="18">
        <f t="shared" ca="1" si="212"/>
        <v>565.90752288680233</v>
      </c>
      <c r="V37" s="18">
        <f t="shared" ca="1" si="212"/>
        <v>51.576945470638748</v>
      </c>
      <c r="W37" s="18">
        <f t="shared" ca="1" si="212"/>
        <v>0</v>
      </c>
      <c r="X37" s="18">
        <f t="shared" ca="1" si="212"/>
        <v>564.26523289342731</v>
      </c>
      <c r="Y37" s="18">
        <f t="shared" ca="1" si="212"/>
        <v>0</v>
      </c>
      <c r="Z37" s="18">
        <f t="shared" ca="1" si="212"/>
        <v>0</v>
      </c>
      <c r="AA37" s="18">
        <f t="shared" ca="1" si="212"/>
        <v>0</v>
      </c>
      <c r="AB37" s="18">
        <f t="shared" ca="1" si="212"/>
        <v>1148.8618775073628</v>
      </c>
      <c r="AC37" s="18">
        <f t="shared" ca="1" si="212"/>
        <v>0</v>
      </c>
      <c r="AD37" s="18">
        <f t="shared" ca="1" si="212"/>
        <v>1128.6962136727743</v>
      </c>
      <c r="AE37" s="18">
        <f t="shared" ca="1" si="212"/>
        <v>0</v>
      </c>
      <c r="AF37" s="18">
        <f t="shared" ca="1" si="212"/>
        <v>0</v>
      </c>
      <c r="AG37" s="18">
        <f t="shared" ca="1" si="212"/>
        <v>373.05565149804534</v>
      </c>
      <c r="AH37" s="18">
        <f t="shared" ca="1" si="212"/>
        <v>2437.891814290022</v>
      </c>
      <c r="AI37" s="18">
        <f t="shared" ca="1" si="212"/>
        <v>1114.0935858303201</v>
      </c>
      <c r="AJ37" s="18">
        <f t="shared" ca="1" si="212"/>
        <v>0</v>
      </c>
      <c r="AK37" s="18">
        <f t="shared" ca="1" si="212"/>
        <v>302.75933532717318</v>
      </c>
      <c r="AL37" s="18">
        <f t="shared" ca="1" si="212"/>
        <v>10.381790868621465</v>
      </c>
      <c r="AM37" s="18">
        <f t="shared" ca="1" si="212"/>
        <v>0</v>
      </c>
      <c r="AN37" s="18">
        <f t="shared" ca="1" si="212"/>
        <v>0</v>
      </c>
      <c r="AO37" s="18">
        <f t="shared" ca="1" si="212"/>
        <v>467.89232529660876</v>
      </c>
      <c r="AP37" s="18">
        <f t="shared" ca="1" si="212"/>
        <v>0</v>
      </c>
      <c r="AQ37" s="18">
        <f t="shared" ca="1" si="212"/>
        <v>735.60559299662054</v>
      </c>
      <c r="AR37" s="18">
        <f t="shared" ca="1" si="212"/>
        <v>368.35682252546394</v>
      </c>
      <c r="AS37" s="18">
        <f t="shared" ca="1" si="212"/>
        <v>1124.0606000993976</v>
      </c>
      <c r="AT37" s="18">
        <f t="shared" ca="1" si="212"/>
        <v>1440.2593585636605</v>
      </c>
      <c r="AU37" s="18">
        <f t="shared" ca="1" si="212"/>
        <v>0</v>
      </c>
      <c r="AV37" s="18">
        <f t="shared" ca="1" si="212"/>
        <v>0</v>
      </c>
      <c r="AW37" s="18">
        <f t="shared" ca="1" si="212"/>
        <v>0</v>
      </c>
      <c r="AX37" s="18">
        <f t="shared" ca="1" si="212"/>
        <v>1609.4186665249617</v>
      </c>
      <c r="AY37" s="18">
        <f t="shared" ca="1" si="212"/>
        <v>0</v>
      </c>
      <c r="AZ37" s="18">
        <f t="shared" ca="1" si="212"/>
        <v>327.50768571428853</v>
      </c>
      <c r="BA37" s="18">
        <f t="shared" ca="1" si="212"/>
        <v>3489.8147411695463</v>
      </c>
      <c r="BB37" s="18">
        <f t="shared" ca="1" si="212"/>
        <v>248.0394205668963</v>
      </c>
      <c r="BC37" s="18">
        <f t="shared" ca="1" si="212"/>
        <v>0</v>
      </c>
      <c r="BD37" s="18">
        <f t="shared" ca="1" si="212"/>
        <v>0</v>
      </c>
      <c r="BE37" s="18">
        <f t="shared" ca="1" si="212"/>
        <v>1087.9855995170728</v>
      </c>
      <c r="BF37" s="18">
        <f t="shared" ca="1" si="212"/>
        <v>0</v>
      </c>
      <c r="BG37" s="18">
        <f t="shared" ca="1" si="212"/>
        <v>0</v>
      </c>
      <c r="BH37" s="18">
        <f t="shared" ca="1" si="212"/>
        <v>0</v>
      </c>
      <c r="BI37" s="18">
        <f t="shared" ca="1" si="212"/>
        <v>0</v>
      </c>
      <c r="BJ37" s="18">
        <f t="shared" ca="1" si="212"/>
        <v>639.43177588265098</v>
      </c>
      <c r="BK37" s="18">
        <f t="shared" ca="1" si="212"/>
        <v>528.53859917159571</v>
      </c>
      <c r="BL37" s="18">
        <f t="shared" ca="1" si="212"/>
        <v>0</v>
      </c>
      <c r="BM37" s="18">
        <f t="shared" ca="1" si="212"/>
        <v>0</v>
      </c>
      <c r="BN37" s="18">
        <f t="shared" ca="1" si="212"/>
        <v>0</v>
      </c>
      <c r="BO37" s="18">
        <f t="shared" ca="1" si="212"/>
        <v>0</v>
      </c>
      <c r="BP37" s="18">
        <f t="shared" ca="1" si="212"/>
        <v>67.722643629389495</v>
      </c>
      <c r="BQ37" s="18">
        <f t="shared" ca="1" si="212"/>
        <v>191.52730649036312</v>
      </c>
      <c r="BR37" s="18">
        <f t="shared" ca="1" si="212"/>
        <v>1143.516070230351</v>
      </c>
      <c r="BS37" s="18">
        <f t="shared" ca="1" si="212"/>
        <v>0</v>
      </c>
      <c r="BT37" s="18">
        <f t="shared" ca="1" si="212"/>
        <v>0</v>
      </c>
      <c r="BU37" s="18">
        <f t="shared" ca="1" si="212"/>
        <v>1023.6276501435314</v>
      </c>
      <c r="BV37" s="18">
        <f t="shared" ca="1" si="212"/>
        <v>0</v>
      </c>
      <c r="BW37" s="18">
        <f t="shared" ref="BW37:DE37" ca="1" si="213">MAX(BW24-$H$37,0)*BW36</f>
        <v>1186.6647916214424</v>
      </c>
      <c r="BX37" s="18">
        <f t="shared" ca="1" si="213"/>
        <v>997.25342938717949</v>
      </c>
      <c r="BY37" s="18">
        <f t="shared" ca="1" si="213"/>
        <v>135.31263121034499</v>
      </c>
      <c r="BZ37" s="18">
        <f t="shared" ca="1" si="213"/>
        <v>0</v>
      </c>
      <c r="CA37" s="18">
        <f t="shared" ca="1" si="213"/>
        <v>1621.5882921080811</v>
      </c>
      <c r="CB37" s="18">
        <f t="shared" ca="1" si="213"/>
        <v>0</v>
      </c>
      <c r="CC37" s="18">
        <f t="shared" ca="1" si="213"/>
        <v>0</v>
      </c>
      <c r="CD37" s="18">
        <f t="shared" ca="1" si="213"/>
        <v>0</v>
      </c>
      <c r="CE37" s="18">
        <f t="shared" ca="1" si="213"/>
        <v>714.70969990990125</v>
      </c>
      <c r="CF37" s="18">
        <f t="shared" ca="1" si="213"/>
        <v>0</v>
      </c>
      <c r="CG37" s="18">
        <f t="shared" ca="1" si="213"/>
        <v>531.32032962260564</v>
      </c>
      <c r="CH37" s="18">
        <f t="shared" ca="1" si="213"/>
        <v>0</v>
      </c>
      <c r="CI37" s="18">
        <f t="shared" ca="1" si="213"/>
        <v>0</v>
      </c>
      <c r="CJ37" s="18">
        <f t="shared" ca="1" si="213"/>
        <v>0</v>
      </c>
      <c r="CK37" s="18">
        <f t="shared" ca="1" si="213"/>
        <v>0</v>
      </c>
      <c r="CL37" s="18">
        <f t="shared" ca="1" si="213"/>
        <v>0</v>
      </c>
      <c r="CM37" s="18">
        <f t="shared" ca="1" si="213"/>
        <v>0</v>
      </c>
      <c r="CN37" s="18">
        <f t="shared" ca="1" si="213"/>
        <v>895.68483498041678</v>
      </c>
      <c r="CO37" s="18">
        <f t="shared" ca="1" si="213"/>
        <v>994.60277206351384</v>
      </c>
      <c r="CP37" s="18">
        <f t="shared" ca="1" si="213"/>
        <v>0</v>
      </c>
      <c r="CQ37" s="18">
        <f t="shared" ca="1" si="213"/>
        <v>80.150002727332321</v>
      </c>
      <c r="CR37" s="18">
        <f t="shared" ca="1" si="213"/>
        <v>88.00373091208894</v>
      </c>
      <c r="CS37" s="18">
        <f t="shared" ca="1" si="213"/>
        <v>0</v>
      </c>
      <c r="CT37" s="18">
        <f t="shared" ca="1" si="213"/>
        <v>0</v>
      </c>
      <c r="CU37" s="18">
        <f t="shared" ca="1" si="213"/>
        <v>1441.8637644573391</v>
      </c>
      <c r="CV37" s="18">
        <f t="shared" ca="1" si="213"/>
        <v>0</v>
      </c>
      <c r="CW37" s="18">
        <f t="shared" ca="1" si="213"/>
        <v>0</v>
      </c>
      <c r="CX37" s="18">
        <f t="shared" ca="1" si="213"/>
        <v>1681.7427322242147</v>
      </c>
      <c r="CY37" s="18">
        <f t="shared" ca="1" si="213"/>
        <v>265.99055628194765</v>
      </c>
      <c r="CZ37" s="18">
        <f t="shared" ca="1" si="213"/>
        <v>0</v>
      </c>
      <c r="DA37" s="18">
        <f t="shared" ca="1" si="213"/>
        <v>0</v>
      </c>
      <c r="DB37" s="18">
        <f t="shared" ca="1" si="213"/>
        <v>0</v>
      </c>
      <c r="DC37" s="18">
        <f t="shared" ca="1" si="213"/>
        <v>0</v>
      </c>
      <c r="DD37" s="18">
        <f t="shared" ca="1" si="213"/>
        <v>0</v>
      </c>
      <c r="DE37" s="18">
        <f t="shared" ca="1" si="213"/>
        <v>1606.8987166326333</v>
      </c>
      <c r="DI37" s="20" t="s">
        <v>161</v>
      </c>
      <c r="DJ37" s="32">
        <f ca="1">DJ36-DJ35</f>
        <v>138.91277548244233</v>
      </c>
    </row>
    <row r="38" spans="1:114" x14ac:dyDescent="0.35">
      <c r="A38" s="16">
        <v>44481</v>
      </c>
      <c r="B38" s="17">
        <v>17991.95</v>
      </c>
      <c r="C38" s="10"/>
      <c r="D38" s="19">
        <f t="shared" si="0"/>
        <v>2.5599729044600752E-3</v>
      </c>
      <c r="F38" s="20" t="s">
        <v>164</v>
      </c>
      <c r="G38" s="20" t="s">
        <v>163</v>
      </c>
      <c r="H38" s="33">
        <v>23500</v>
      </c>
      <c r="I38" s="36"/>
      <c r="J38" s="18">
        <f ca="1">J37*EXP(-$DH$5*$DH$7)</f>
        <v>228.5536104113562</v>
      </c>
      <c r="K38" s="18">
        <f t="shared" ref="K38:BV38" ca="1" si="214">K37*EXP(-$DH$5*$DH$7)</f>
        <v>0</v>
      </c>
      <c r="L38" s="18">
        <f t="shared" ca="1" si="214"/>
        <v>0</v>
      </c>
      <c r="M38" s="18">
        <f t="shared" ca="1" si="214"/>
        <v>782.99095529646775</v>
      </c>
      <c r="N38" s="18">
        <f t="shared" ca="1" si="214"/>
        <v>200.62068991707645</v>
      </c>
      <c r="O38" s="18">
        <f t="shared" ca="1" si="214"/>
        <v>696.82163720049118</v>
      </c>
      <c r="P38" s="18">
        <f t="shared" ca="1" si="214"/>
        <v>0</v>
      </c>
      <c r="Q38" s="18">
        <f t="shared" ca="1" si="214"/>
        <v>1607.5059667924179</v>
      </c>
      <c r="R38" s="18">
        <f t="shared" ca="1" si="214"/>
        <v>905.35720391263771</v>
      </c>
      <c r="S38" s="18">
        <f t="shared" ca="1" si="214"/>
        <v>617.50823200544403</v>
      </c>
      <c r="T38" s="18">
        <f t="shared" ca="1" si="214"/>
        <v>0</v>
      </c>
      <c r="U38" s="18">
        <f t="shared" ca="1" si="214"/>
        <v>563.47161088541054</v>
      </c>
      <c r="V38" s="18">
        <f t="shared" ca="1" si="214"/>
        <v>51.354935874749017</v>
      </c>
      <c r="W38" s="18">
        <f t="shared" ca="1" si="214"/>
        <v>0</v>
      </c>
      <c r="X38" s="18">
        <f t="shared" ca="1" si="214"/>
        <v>561.83639002213692</v>
      </c>
      <c r="Y38" s="18">
        <f t="shared" ca="1" si="214"/>
        <v>0</v>
      </c>
      <c r="Z38" s="18">
        <f t="shared" ca="1" si="214"/>
        <v>0</v>
      </c>
      <c r="AA38" s="18">
        <f t="shared" ca="1" si="214"/>
        <v>0</v>
      </c>
      <c r="AB38" s="18">
        <f t="shared" ca="1" si="214"/>
        <v>1143.9166765298501</v>
      </c>
      <c r="AC38" s="18">
        <f t="shared" ca="1" si="214"/>
        <v>0</v>
      </c>
      <c r="AD38" s="18">
        <f t="shared" ca="1" si="214"/>
        <v>1123.8378144792352</v>
      </c>
      <c r="AE38" s="18">
        <f t="shared" ca="1" si="214"/>
        <v>0</v>
      </c>
      <c r="AF38" s="18">
        <f t="shared" ca="1" si="214"/>
        <v>0</v>
      </c>
      <c r="AG38" s="18">
        <f t="shared" ca="1" si="214"/>
        <v>371.44985779161868</v>
      </c>
      <c r="AH38" s="18">
        <f t="shared" ca="1" si="214"/>
        <v>2427.3980680711516</v>
      </c>
      <c r="AI38" s="18">
        <f t="shared" ca="1" si="214"/>
        <v>1109.2980426953677</v>
      </c>
      <c r="AJ38" s="18">
        <f t="shared" ca="1" si="214"/>
        <v>0</v>
      </c>
      <c r="AK38" s="18">
        <f t="shared" ca="1" si="214"/>
        <v>301.45612752619758</v>
      </c>
      <c r="AL38" s="18">
        <f t="shared" ca="1" si="214"/>
        <v>10.33710312733856</v>
      </c>
      <c r="AM38" s="18">
        <f t="shared" ca="1" si="214"/>
        <v>0</v>
      </c>
      <c r="AN38" s="18">
        <f t="shared" ca="1" si="214"/>
        <v>0</v>
      </c>
      <c r="AO38" s="18">
        <f t="shared" ca="1" si="214"/>
        <v>465.87831331681554</v>
      </c>
      <c r="AP38" s="18">
        <f t="shared" ca="1" si="214"/>
        <v>0</v>
      </c>
      <c r="AQ38" s="18">
        <f t="shared" ca="1" si="214"/>
        <v>732.43922672686199</v>
      </c>
      <c r="AR38" s="18">
        <f t="shared" ca="1" si="214"/>
        <v>366.7712546217063</v>
      </c>
      <c r="AS38" s="18">
        <f t="shared" ca="1" si="214"/>
        <v>1119.2221546019668</v>
      </c>
      <c r="AT38" s="18">
        <f t="shared" ca="1" si="214"/>
        <v>1434.0598561454115</v>
      </c>
      <c r="AU38" s="18">
        <f t="shared" ca="1" si="214"/>
        <v>0</v>
      </c>
      <c r="AV38" s="18">
        <f t="shared" ca="1" si="214"/>
        <v>0</v>
      </c>
      <c r="AW38" s="18">
        <f t="shared" ca="1" si="214"/>
        <v>0</v>
      </c>
      <c r="AX38" s="18">
        <f t="shared" ca="1" si="214"/>
        <v>1602.4910289048548</v>
      </c>
      <c r="AY38" s="18">
        <f t="shared" ca="1" si="214"/>
        <v>0</v>
      </c>
      <c r="AZ38" s="18">
        <f t="shared" ca="1" si="214"/>
        <v>326.09795025413797</v>
      </c>
      <c r="BA38" s="18">
        <f t="shared" ca="1" si="214"/>
        <v>3474.7930613599474</v>
      </c>
      <c r="BB38" s="18">
        <f t="shared" ca="1" si="214"/>
        <v>246.9717510680089</v>
      </c>
      <c r="BC38" s="18">
        <f t="shared" ca="1" si="214"/>
        <v>0</v>
      </c>
      <c r="BD38" s="18">
        <f t="shared" ca="1" si="214"/>
        <v>0</v>
      </c>
      <c r="BE38" s="18">
        <f t="shared" ca="1" si="214"/>
        <v>1083.3024365054102</v>
      </c>
      <c r="BF38" s="18">
        <f t="shared" ca="1" si="214"/>
        <v>0</v>
      </c>
      <c r="BG38" s="18">
        <f t="shared" ca="1" si="214"/>
        <v>0</v>
      </c>
      <c r="BH38" s="18">
        <f t="shared" ca="1" si="214"/>
        <v>0</v>
      </c>
      <c r="BI38" s="18">
        <f t="shared" ca="1" si="214"/>
        <v>0</v>
      </c>
      <c r="BJ38" s="18">
        <f t="shared" ca="1" si="214"/>
        <v>636.67938353239879</v>
      </c>
      <c r="BK38" s="18">
        <f t="shared" ca="1" si="214"/>
        <v>526.26353926365664</v>
      </c>
      <c r="BL38" s="18">
        <f t="shared" ca="1" si="214"/>
        <v>0</v>
      </c>
      <c r="BM38" s="18">
        <f t="shared" ca="1" si="214"/>
        <v>0</v>
      </c>
      <c r="BN38" s="18">
        <f t="shared" ca="1" si="214"/>
        <v>0</v>
      </c>
      <c r="BO38" s="18">
        <f t="shared" ca="1" si="214"/>
        <v>0</v>
      </c>
      <c r="BP38" s="18">
        <f t="shared" ca="1" si="214"/>
        <v>67.431135929436536</v>
      </c>
      <c r="BQ38" s="18">
        <f t="shared" ca="1" si="214"/>
        <v>190.70288969856259</v>
      </c>
      <c r="BR38" s="18">
        <f t="shared" ca="1" si="214"/>
        <v>1138.5938799313972</v>
      </c>
      <c r="BS38" s="18">
        <f t="shared" ca="1" si="214"/>
        <v>0</v>
      </c>
      <c r="BT38" s="18">
        <f t="shared" ca="1" si="214"/>
        <v>0</v>
      </c>
      <c r="BU38" s="18">
        <f t="shared" ca="1" si="214"/>
        <v>1019.2215117249759</v>
      </c>
      <c r="BV38" s="18">
        <f t="shared" ca="1" si="214"/>
        <v>0</v>
      </c>
      <c r="BW38" s="18">
        <f t="shared" ref="BW38:DE38" ca="1" si="215">BW37*EXP(-$DH$5*$DH$7)</f>
        <v>1181.5568704671271</v>
      </c>
      <c r="BX38" s="18">
        <f t="shared" ca="1" si="215"/>
        <v>992.96081708069983</v>
      </c>
      <c r="BY38" s="18">
        <f t="shared" ca="1" si="215"/>
        <v>134.73018681974247</v>
      </c>
      <c r="BZ38" s="18">
        <f t="shared" ca="1" si="215"/>
        <v>0</v>
      </c>
      <c r="CA38" s="18">
        <f t="shared" ca="1" si="215"/>
        <v>1614.6082711288361</v>
      </c>
      <c r="CB38" s="18">
        <f t="shared" ca="1" si="215"/>
        <v>0</v>
      </c>
      <c r="CC38" s="18">
        <f t="shared" ca="1" si="215"/>
        <v>0</v>
      </c>
      <c r="CD38" s="18">
        <f t="shared" ca="1" si="215"/>
        <v>0</v>
      </c>
      <c r="CE38" s="18">
        <f t="shared" ca="1" si="215"/>
        <v>711.63327864827772</v>
      </c>
      <c r="CF38" s="18">
        <f t="shared" ca="1" si="215"/>
        <v>0</v>
      </c>
      <c r="CG38" s="18">
        <f t="shared" ca="1" si="215"/>
        <v>529.03329593747469</v>
      </c>
      <c r="CH38" s="18">
        <f t="shared" ca="1" si="215"/>
        <v>0</v>
      </c>
      <c r="CI38" s="18">
        <f t="shared" ca="1" si="215"/>
        <v>0</v>
      </c>
      <c r="CJ38" s="18">
        <f t="shared" ca="1" si="215"/>
        <v>0</v>
      </c>
      <c r="CK38" s="18">
        <f t="shared" ca="1" si="215"/>
        <v>0</v>
      </c>
      <c r="CL38" s="18">
        <f t="shared" ca="1" si="215"/>
        <v>0</v>
      </c>
      <c r="CM38" s="18">
        <f t="shared" ca="1" si="215"/>
        <v>0</v>
      </c>
      <c r="CN38" s="18">
        <f t="shared" ca="1" si="215"/>
        <v>891.8294180602395</v>
      </c>
      <c r="CO38" s="18">
        <f t="shared" ca="1" si="215"/>
        <v>990.32156933850308</v>
      </c>
      <c r="CP38" s="18">
        <f t="shared" ca="1" si="215"/>
        <v>0</v>
      </c>
      <c r="CQ38" s="18">
        <f t="shared" ca="1" si="215"/>
        <v>79.805002271146222</v>
      </c>
      <c r="CR38" s="18">
        <f t="shared" ca="1" si="215"/>
        <v>87.624924595462375</v>
      </c>
      <c r="CS38" s="18">
        <f t="shared" ca="1" si="215"/>
        <v>0</v>
      </c>
      <c r="CT38" s="18">
        <f t="shared" ca="1" si="215"/>
        <v>0</v>
      </c>
      <c r="CU38" s="18">
        <f t="shared" ca="1" si="215"/>
        <v>1435.6573559786236</v>
      </c>
      <c r="CV38" s="18">
        <f t="shared" ca="1" si="215"/>
        <v>0</v>
      </c>
      <c r="CW38" s="18">
        <f t="shared" ca="1" si="215"/>
        <v>0</v>
      </c>
      <c r="CX38" s="18">
        <f t="shared" ca="1" si="215"/>
        <v>1674.5037803831419</v>
      </c>
      <c r="CY38" s="18">
        <f t="shared" ca="1" si="215"/>
        <v>264.845617290858</v>
      </c>
      <c r="CZ38" s="18">
        <f t="shared" ca="1" si="215"/>
        <v>0</v>
      </c>
      <c r="DA38" s="18">
        <f t="shared" ca="1" si="215"/>
        <v>0</v>
      </c>
      <c r="DB38" s="18">
        <f t="shared" ca="1" si="215"/>
        <v>0</v>
      </c>
      <c r="DC38" s="18">
        <f t="shared" ca="1" si="215"/>
        <v>0</v>
      </c>
      <c r="DD38" s="18">
        <f t="shared" ca="1" si="215"/>
        <v>0</v>
      </c>
      <c r="DE38" s="18">
        <f t="shared" ca="1" si="215"/>
        <v>1599.9819259723872</v>
      </c>
      <c r="DI38" s="20"/>
      <c r="DJ38" s="30"/>
    </row>
    <row r="39" spans="1:114" x14ac:dyDescent="0.35">
      <c r="A39" s="16">
        <v>44482</v>
      </c>
      <c r="B39" s="17">
        <v>18161.75</v>
      </c>
      <c r="C39" s="10"/>
      <c r="D39" s="19">
        <f t="shared" si="0"/>
        <v>9.3932985287852669E-3</v>
      </c>
    </row>
    <row r="40" spans="1:114" x14ac:dyDescent="0.35">
      <c r="A40" s="16">
        <v>44483</v>
      </c>
      <c r="B40" s="17">
        <v>18338.55</v>
      </c>
      <c r="C40" s="10"/>
      <c r="D40" s="19">
        <f t="shared" si="0"/>
        <v>9.6876673744827318E-3</v>
      </c>
    </row>
    <row r="41" spans="1:114" x14ac:dyDescent="0.35">
      <c r="A41" s="16">
        <v>44487</v>
      </c>
      <c r="B41" s="17">
        <v>18477.05</v>
      </c>
      <c r="C41" s="10"/>
      <c r="D41" s="19">
        <f t="shared" si="0"/>
        <v>7.5240198928300944E-3</v>
      </c>
    </row>
    <row r="42" spans="1:114" x14ac:dyDescent="0.35">
      <c r="A42" s="16">
        <v>44488</v>
      </c>
      <c r="B42" s="17">
        <v>18418.75</v>
      </c>
      <c r="C42" s="10"/>
      <c r="D42" s="19">
        <f t="shared" si="0"/>
        <v>-3.1602539324889403E-3</v>
      </c>
    </row>
    <row r="43" spans="1:114" x14ac:dyDescent="0.35">
      <c r="A43" s="16">
        <v>44489</v>
      </c>
      <c r="B43" s="17">
        <v>18266.599999999999</v>
      </c>
      <c r="C43" s="10"/>
      <c r="D43" s="19">
        <f t="shared" si="0"/>
        <v>-8.2949118597041606E-3</v>
      </c>
    </row>
    <row r="44" spans="1:114" x14ac:dyDescent="0.35">
      <c r="A44" s="16">
        <v>44490</v>
      </c>
      <c r="B44" s="17">
        <v>18178.099999999999</v>
      </c>
      <c r="C44" s="10"/>
      <c r="D44" s="19">
        <f t="shared" si="0"/>
        <v>-4.8566828074737599E-3</v>
      </c>
    </row>
    <row r="45" spans="1:114" x14ac:dyDescent="0.35">
      <c r="A45" s="16">
        <v>44491</v>
      </c>
      <c r="B45" s="17">
        <v>18114.900000000001</v>
      </c>
      <c r="C45" s="10"/>
      <c r="D45" s="19">
        <f t="shared" si="0"/>
        <v>-3.4827687919410082E-3</v>
      </c>
    </row>
    <row r="46" spans="1:114" x14ac:dyDescent="0.35">
      <c r="A46" s="16">
        <v>44494</v>
      </c>
      <c r="B46" s="17">
        <v>18125.400000000001</v>
      </c>
      <c r="C46" s="10"/>
      <c r="D46" s="19">
        <f t="shared" si="0"/>
        <v>5.7946541799084499E-4</v>
      </c>
    </row>
    <row r="47" spans="1:114" x14ac:dyDescent="0.35">
      <c r="A47" s="16">
        <v>44495</v>
      </c>
      <c r="B47" s="17">
        <v>18268.400000000001</v>
      </c>
      <c r="C47" s="10"/>
      <c r="D47" s="19">
        <f t="shared" si="0"/>
        <v>7.858521832249608E-3</v>
      </c>
    </row>
    <row r="48" spans="1:114" x14ac:dyDescent="0.35">
      <c r="A48" s="16">
        <v>44496</v>
      </c>
      <c r="B48" s="17">
        <v>18210.95</v>
      </c>
      <c r="C48" s="10"/>
      <c r="D48" s="19">
        <f t="shared" si="0"/>
        <v>-3.1497297783985938E-3</v>
      </c>
    </row>
    <row r="49" spans="1:4" x14ac:dyDescent="0.35">
      <c r="A49" s="16">
        <v>44497</v>
      </c>
      <c r="B49" s="17">
        <v>17857.25</v>
      </c>
      <c r="C49" s="10"/>
      <c r="D49" s="19">
        <f t="shared" si="0"/>
        <v>-1.961347328760292E-2</v>
      </c>
    </row>
    <row r="50" spans="1:4" x14ac:dyDescent="0.35">
      <c r="A50" s="16">
        <v>44498</v>
      </c>
      <c r="B50" s="17">
        <v>17671.650000000001</v>
      </c>
      <c r="C50" s="10"/>
      <c r="D50" s="19">
        <f t="shared" si="0"/>
        <v>-1.0447927649083697E-2</v>
      </c>
    </row>
    <row r="51" spans="1:4" x14ac:dyDescent="0.35">
      <c r="A51" s="16">
        <v>44501</v>
      </c>
      <c r="B51" s="17">
        <v>17929.650000000001</v>
      </c>
      <c r="C51" s="10"/>
      <c r="D51" s="19">
        <f t="shared" si="0"/>
        <v>1.4494106489669145E-2</v>
      </c>
    </row>
    <row r="52" spans="1:4" x14ac:dyDescent="0.35">
      <c r="A52" s="16">
        <v>44502</v>
      </c>
      <c r="B52" s="17">
        <v>17888.95</v>
      </c>
      <c r="C52" s="10"/>
      <c r="D52" s="19">
        <f t="shared" si="0"/>
        <v>-2.2725632780962878E-3</v>
      </c>
    </row>
    <row r="53" spans="1:4" x14ac:dyDescent="0.35">
      <c r="A53" s="16">
        <v>44503</v>
      </c>
      <c r="B53" s="17">
        <v>17829.2</v>
      </c>
      <c r="C53" s="10"/>
      <c r="D53" s="19">
        <f t="shared" si="0"/>
        <v>-3.3456411226991806E-3</v>
      </c>
    </row>
    <row r="54" spans="1:4" x14ac:dyDescent="0.35">
      <c r="A54" s="16">
        <v>44504</v>
      </c>
      <c r="B54" s="17">
        <v>17916.8</v>
      </c>
      <c r="C54" s="10"/>
      <c r="D54" s="19">
        <f t="shared" si="0"/>
        <v>4.9012575036592558E-3</v>
      </c>
    </row>
    <row r="55" spans="1:4" x14ac:dyDescent="0.35">
      <c r="A55" s="16">
        <v>44508</v>
      </c>
      <c r="B55" s="17">
        <v>18068.55</v>
      </c>
      <c r="C55" s="10"/>
      <c r="D55" s="19">
        <f t="shared" si="0"/>
        <v>8.4340377145086798E-3</v>
      </c>
    </row>
    <row r="56" spans="1:4" x14ac:dyDescent="0.35">
      <c r="A56" s="16">
        <v>44509</v>
      </c>
      <c r="B56" s="17">
        <v>18044.25</v>
      </c>
      <c r="C56" s="10"/>
      <c r="D56" s="19">
        <f t="shared" si="0"/>
        <v>-1.3457834157164536E-3</v>
      </c>
    </row>
    <row r="57" spans="1:4" x14ac:dyDescent="0.35">
      <c r="A57" s="16">
        <v>44510</v>
      </c>
      <c r="B57" s="17">
        <v>18017.2</v>
      </c>
      <c r="C57" s="10"/>
      <c r="D57" s="19">
        <f t="shared" si="0"/>
        <v>-1.5002172720921161E-3</v>
      </c>
    </row>
    <row r="58" spans="1:4" x14ac:dyDescent="0.35">
      <c r="A58" s="16">
        <v>44511</v>
      </c>
      <c r="B58" s="17">
        <v>17873.599999999999</v>
      </c>
      <c r="C58" s="10"/>
      <c r="D58" s="19">
        <f t="shared" si="0"/>
        <v>-8.0020933646903214E-3</v>
      </c>
    </row>
    <row r="59" spans="1:4" x14ac:dyDescent="0.35">
      <c r="A59" s="16">
        <v>44512</v>
      </c>
      <c r="B59" s="17">
        <v>18102.75</v>
      </c>
      <c r="C59" s="10"/>
      <c r="D59" s="19">
        <f t="shared" si="0"/>
        <v>1.2739096598234837E-2</v>
      </c>
    </row>
    <row r="60" spans="1:4" x14ac:dyDescent="0.35">
      <c r="A60" s="16">
        <v>44515</v>
      </c>
      <c r="B60" s="17">
        <v>18109.45</v>
      </c>
      <c r="C60" s="10"/>
      <c r="D60" s="19">
        <f t="shared" si="0"/>
        <v>3.700410401166087E-4</v>
      </c>
    </row>
    <row r="61" spans="1:4" x14ac:dyDescent="0.35">
      <c r="A61" s="16">
        <v>44516</v>
      </c>
      <c r="B61" s="17">
        <v>17999.2</v>
      </c>
      <c r="C61" s="10"/>
      <c r="D61" s="19">
        <f t="shared" si="0"/>
        <v>-6.1065890087613648E-3</v>
      </c>
    </row>
    <row r="62" spans="1:4" x14ac:dyDescent="0.35">
      <c r="A62" s="16">
        <v>44517</v>
      </c>
      <c r="B62" s="17">
        <v>17898.650000000001</v>
      </c>
      <c r="C62" s="10"/>
      <c r="D62" s="19">
        <f t="shared" si="0"/>
        <v>-5.6020214558960254E-3</v>
      </c>
    </row>
    <row r="63" spans="1:4" x14ac:dyDescent="0.35">
      <c r="A63" s="16">
        <v>44518</v>
      </c>
      <c r="B63" s="17">
        <v>17764.8</v>
      </c>
      <c r="C63" s="10"/>
      <c r="D63" s="19">
        <f t="shared" si="0"/>
        <v>-7.5063196902765391E-3</v>
      </c>
    </row>
    <row r="64" spans="1:4" x14ac:dyDescent="0.35">
      <c r="A64" s="16">
        <v>44522</v>
      </c>
      <c r="B64" s="17">
        <v>17416.55</v>
      </c>
      <c r="C64" s="10"/>
      <c r="D64" s="19">
        <f t="shared" si="0"/>
        <v>-1.9798067728082253E-2</v>
      </c>
    </row>
    <row r="65" spans="1:4" x14ac:dyDescent="0.35">
      <c r="A65" s="16">
        <v>44523</v>
      </c>
      <c r="B65" s="17">
        <v>17503.349999999999</v>
      </c>
      <c r="C65" s="10"/>
      <c r="D65" s="19">
        <f t="shared" si="0"/>
        <v>4.9713875910040546E-3</v>
      </c>
    </row>
    <row r="66" spans="1:4" x14ac:dyDescent="0.35">
      <c r="A66" s="16">
        <v>44524</v>
      </c>
      <c r="B66" s="17">
        <v>17415.05</v>
      </c>
      <c r="C66" s="10"/>
      <c r="D66" s="19">
        <f t="shared" si="0"/>
        <v>-5.0575162788005449E-3</v>
      </c>
    </row>
    <row r="67" spans="1:4" x14ac:dyDescent="0.35">
      <c r="A67" s="16">
        <v>44525</v>
      </c>
      <c r="B67" s="17">
        <v>17536.25</v>
      </c>
      <c r="C67" s="10"/>
      <c r="D67" s="19">
        <f t="shared" ref="D67:D130" si="216">LN(B67/B66)</f>
        <v>6.9353921488597555E-3</v>
      </c>
    </row>
    <row r="68" spans="1:4" x14ac:dyDescent="0.35">
      <c r="A68" s="16">
        <v>44526</v>
      </c>
      <c r="B68" s="17">
        <v>17026.45</v>
      </c>
      <c r="C68" s="10"/>
      <c r="D68" s="19">
        <f t="shared" si="216"/>
        <v>-2.9502149772621358E-2</v>
      </c>
    </row>
    <row r="69" spans="1:4" x14ac:dyDescent="0.35">
      <c r="A69" s="16">
        <v>44529</v>
      </c>
      <c r="B69" s="17">
        <v>17053.95</v>
      </c>
      <c r="C69" s="10"/>
      <c r="D69" s="19">
        <f t="shared" si="216"/>
        <v>1.6138311738437181E-3</v>
      </c>
    </row>
    <row r="70" spans="1:4" x14ac:dyDescent="0.35">
      <c r="A70" s="16">
        <v>44530</v>
      </c>
      <c r="B70" s="17">
        <v>16983.2</v>
      </c>
      <c r="C70" s="10"/>
      <c r="D70" s="19">
        <f t="shared" si="216"/>
        <v>-4.1572283164124264E-3</v>
      </c>
    </row>
    <row r="71" spans="1:4" x14ac:dyDescent="0.35">
      <c r="A71" s="16">
        <v>44531</v>
      </c>
      <c r="B71" s="17">
        <v>17166.900000000001</v>
      </c>
      <c r="C71" s="10"/>
      <c r="D71" s="19">
        <f t="shared" si="216"/>
        <v>1.0758491006561958E-2</v>
      </c>
    </row>
    <row r="72" spans="1:4" x14ac:dyDescent="0.35">
      <c r="A72" s="16">
        <v>44532</v>
      </c>
      <c r="B72" s="17">
        <v>17401.650000000001</v>
      </c>
      <c r="C72" s="10"/>
      <c r="D72" s="19">
        <f t="shared" si="216"/>
        <v>1.358191816862196E-2</v>
      </c>
    </row>
    <row r="73" spans="1:4" x14ac:dyDescent="0.35">
      <c r="A73" s="16">
        <v>44533</v>
      </c>
      <c r="B73" s="17">
        <v>17196.7</v>
      </c>
      <c r="C73" s="10"/>
      <c r="D73" s="19">
        <f t="shared" si="216"/>
        <v>-1.1847524364121427E-2</v>
      </c>
    </row>
    <row r="74" spans="1:4" x14ac:dyDescent="0.35">
      <c r="A74" s="16">
        <v>44536</v>
      </c>
      <c r="B74" s="17">
        <v>16912.25</v>
      </c>
      <c r="C74" s="10"/>
      <c r="D74" s="19">
        <f t="shared" si="216"/>
        <v>-1.6679293525066932E-2</v>
      </c>
    </row>
    <row r="75" spans="1:4" x14ac:dyDescent="0.35">
      <c r="A75" s="16">
        <v>44537</v>
      </c>
      <c r="B75" s="17">
        <v>17176.7</v>
      </c>
      <c r="C75" s="10"/>
      <c r="D75" s="19">
        <f t="shared" si="216"/>
        <v>1.5515602865605863E-2</v>
      </c>
    </row>
    <row r="76" spans="1:4" x14ac:dyDescent="0.35">
      <c r="A76" s="16">
        <v>44538</v>
      </c>
      <c r="B76" s="17">
        <v>17469.75</v>
      </c>
      <c r="C76" s="10"/>
      <c r="D76" s="19">
        <f t="shared" si="216"/>
        <v>1.6916999510179991E-2</v>
      </c>
    </row>
    <row r="77" spans="1:4" x14ac:dyDescent="0.35">
      <c r="A77" s="16">
        <v>44539</v>
      </c>
      <c r="B77" s="17">
        <v>17516.849999999999</v>
      </c>
      <c r="C77" s="10"/>
      <c r="D77" s="19">
        <f t="shared" si="216"/>
        <v>2.6924610252884998E-3</v>
      </c>
    </row>
    <row r="78" spans="1:4" x14ac:dyDescent="0.35">
      <c r="A78" s="16">
        <v>44540</v>
      </c>
      <c r="B78" s="17">
        <v>17511.3</v>
      </c>
      <c r="C78" s="10"/>
      <c r="D78" s="19">
        <f t="shared" si="216"/>
        <v>-3.1688799131232727E-4</v>
      </c>
    </row>
    <row r="79" spans="1:4" x14ac:dyDescent="0.35">
      <c r="A79" s="16">
        <v>44543</v>
      </c>
      <c r="B79" s="17">
        <v>17368.25</v>
      </c>
      <c r="C79" s="10"/>
      <c r="D79" s="19">
        <f t="shared" si="216"/>
        <v>-8.2025600706723129E-3</v>
      </c>
    </row>
    <row r="80" spans="1:4" x14ac:dyDescent="0.35">
      <c r="A80" s="16">
        <v>44544</v>
      </c>
      <c r="B80" s="17">
        <v>17324.900000000001</v>
      </c>
      <c r="C80" s="10"/>
      <c r="D80" s="19">
        <f t="shared" si="216"/>
        <v>-2.4990537072034653E-3</v>
      </c>
    </row>
    <row r="81" spans="1:4" x14ac:dyDescent="0.35">
      <c r="A81" s="16">
        <v>44545</v>
      </c>
      <c r="B81" s="17">
        <v>17221.400000000001</v>
      </c>
      <c r="C81" s="10"/>
      <c r="D81" s="19">
        <f t="shared" si="216"/>
        <v>-5.9919765456759484E-3</v>
      </c>
    </row>
    <row r="82" spans="1:4" x14ac:dyDescent="0.35">
      <c r="A82" s="16">
        <v>44546</v>
      </c>
      <c r="B82" s="17">
        <v>17248.400000000001</v>
      </c>
      <c r="C82" s="10"/>
      <c r="D82" s="19">
        <f t="shared" si="216"/>
        <v>1.5665890444361708E-3</v>
      </c>
    </row>
    <row r="83" spans="1:4" x14ac:dyDescent="0.35">
      <c r="A83" s="16">
        <v>44547</v>
      </c>
      <c r="B83" s="17">
        <v>16985.2</v>
      </c>
      <c r="C83" s="10"/>
      <c r="D83" s="19">
        <f t="shared" si="216"/>
        <v>-1.5377008913403054E-2</v>
      </c>
    </row>
    <row r="84" spans="1:4" x14ac:dyDescent="0.35">
      <c r="A84" s="16">
        <v>44550</v>
      </c>
      <c r="B84" s="17">
        <v>16614.2</v>
      </c>
      <c r="C84" s="10"/>
      <c r="D84" s="19">
        <f t="shared" si="216"/>
        <v>-2.208462525426377E-2</v>
      </c>
    </row>
    <row r="85" spans="1:4" x14ac:dyDescent="0.35">
      <c r="A85" s="16">
        <v>44551</v>
      </c>
      <c r="B85" s="17">
        <v>16770.849999999999</v>
      </c>
      <c r="C85" s="10"/>
      <c r="D85" s="19">
        <f t="shared" si="216"/>
        <v>9.3845089143681712E-3</v>
      </c>
    </row>
    <row r="86" spans="1:4" x14ac:dyDescent="0.35">
      <c r="A86" s="16">
        <v>44552</v>
      </c>
      <c r="B86" s="17">
        <v>16955.45</v>
      </c>
      <c r="C86" s="10"/>
      <c r="D86" s="19">
        <f t="shared" si="216"/>
        <v>1.0947055769810723E-2</v>
      </c>
    </row>
    <row r="87" spans="1:4" x14ac:dyDescent="0.35">
      <c r="A87" s="16">
        <v>44553</v>
      </c>
      <c r="B87" s="17">
        <v>17072.599999999999</v>
      </c>
      <c r="C87" s="10"/>
      <c r="D87" s="19">
        <f t="shared" si="216"/>
        <v>6.885523140111989E-3</v>
      </c>
    </row>
    <row r="88" spans="1:4" x14ac:dyDescent="0.35">
      <c r="A88" s="16">
        <v>44554</v>
      </c>
      <c r="B88" s="17">
        <v>17003.75</v>
      </c>
      <c r="C88" s="10"/>
      <c r="D88" s="19">
        <f t="shared" si="216"/>
        <v>-4.0409312434183352E-3</v>
      </c>
    </row>
    <row r="89" spans="1:4" x14ac:dyDescent="0.35">
      <c r="A89" s="16">
        <v>44557</v>
      </c>
      <c r="B89" s="17">
        <v>17086.25</v>
      </c>
      <c r="C89" s="10"/>
      <c r="D89" s="19">
        <f t="shared" si="216"/>
        <v>4.8401385192229909E-3</v>
      </c>
    </row>
    <row r="90" spans="1:4" x14ac:dyDescent="0.35">
      <c r="A90" s="16">
        <v>44558</v>
      </c>
      <c r="B90" s="17">
        <v>17233.25</v>
      </c>
      <c r="C90" s="10"/>
      <c r="D90" s="19">
        <f t="shared" si="216"/>
        <v>8.5666107599145849E-3</v>
      </c>
    </row>
    <row r="91" spans="1:4" x14ac:dyDescent="0.35">
      <c r="A91" s="16">
        <v>44559</v>
      </c>
      <c r="B91" s="17">
        <v>17213.599999999999</v>
      </c>
      <c r="C91" s="10"/>
      <c r="D91" s="19">
        <f t="shared" si="216"/>
        <v>-1.1408881875360657E-3</v>
      </c>
    </row>
    <row r="92" spans="1:4" x14ac:dyDescent="0.35">
      <c r="A92" s="16">
        <v>44560</v>
      </c>
      <c r="B92" s="17">
        <v>17203.95</v>
      </c>
      <c r="C92" s="10"/>
      <c r="D92" s="19">
        <f t="shared" si="216"/>
        <v>-5.6076044069777991E-4</v>
      </c>
    </row>
    <row r="93" spans="1:4" x14ac:dyDescent="0.35">
      <c r="A93" s="16">
        <v>44561</v>
      </c>
      <c r="B93" s="17">
        <v>17354.05</v>
      </c>
      <c r="C93" s="10"/>
      <c r="D93" s="19">
        <f t="shared" si="216"/>
        <v>8.686899930872365E-3</v>
      </c>
    </row>
    <row r="94" spans="1:4" x14ac:dyDescent="0.35">
      <c r="A94" s="16">
        <v>44564</v>
      </c>
      <c r="B94" s="17">
        <v>17625.7</v>
      </c>
      <c r="C94" s="10"/>
      <c r="D94" s="19">
        <f t="shared" si="216"/>
        <v>1.5532155674438485E-2</v>
      </c>
    </row>
    <row r="95" spans="1:4" x14ac:dyDescent="0.35">
      <c r="A95" s="16">
        <v>44565</v>
      </c>
      <c r="B95" s="17">
        <v>17805.25</v>
      </c>
      <c r="C95" s="10"/>
      <c r="D95" s="19">
        <f t="shared" si="216"/>
        <v>1.0135293409169081E-2</v>
      </c>
    </row>
    <row r="96" spans="1:4" x14ac:dyDescent="0.35">
      <c r="A96" s="16">
        <v>44566</v>
      </c>
      <c r="B96" s="17">
        <v>17925.25</v>
      </c>
      <c r="C96" s="10"/>
      <c r="D96" s="19">
        <f t="shared" si="216"/>
        <v>6.7169757589339947E-3</v>
      </c>
    </row>
    <row r="97" spans="1:4" x14ac:dyDescent="0.35">
      <c r="A97" s="16">
        <v>44567</v>
      </c>
      <c r="B97" s="17">
        <v>17745.900000000001</v>
      </c>
      <c r="C97" s="10"/>
      <c r="D97" s="19">
        <f t="shared" si="216"/>
        <v>-1.0055830065243644E-2</v>
      </c>
    </row>
    <row r="98" spans="1:4" x14ac:dyDescent="0.35">
      <c r="A98" s="16">
        <v>44568</v>
      </c>
      <c r="B98" s="17">
        <v>17812.7</v>
      </c>
      <c r="C98" s="10"/>
      <c r="D98" s="19">
        <f t="shared" si="216"/>
        <v>3.7571827114337929E-3</v>
      </c>
    </row>
    <row r="99" spans="1:4" x14ac:dyDescent="0.35">
      <c r="A99" s="16">
        <v>44571</v>
      </c>
      <c r="B99" s="17">
        <v>18003.3</v>
      </c>
      <c r="C99" s="10"/>
      <c r="D99" s="19">
        <f t="shared" si="216"/>
        <v>1.064338838998579E-2</v>
      </c>
    </row>
    <row r="100" spans="1:4" x14ac:dyDescent="0.35">
      <c r="A100" s="16">
        <v>44572</v>
      </c>
      <c r="B100" s="17">
        <v>18055.75</v>
      </c>
      <c r="C100" s="10"/>
      <c r="D100" s="19">
        <f t="shared" si="216"/>
        <v>2.9091191803581893E-3</v>
      </c>
    </row>
    <row r="101" spans="1:4" x14ac:dyDescent="0.35">
      <c r="A101" s="16">
        <v>44573</v>
      </c>
      <c r="B101" s="17">
        <v>18212.349999999999</v>
      </c>
      <c r="C101" s="10"/>
      <c r="D101" s="19">
        <f t="shared" si="216"/>
        <v>8.6357417794735106E-3</v>
      </c>
    </row>
    <row r="102" spans="1:4" x14ac:dyDescent="0.35">
      <c r="A102" s="16">
        <v>44574</v>
      </c>
      <c r="B102" s="17">
        <v>18257.8</v>
      </c>
      <c r="C102" s="10"/>
      <c r="D102" s="19">
        <f t="shared" si="216"/>
        <v>2.4924505947533245E-3</v>
      </c>
    </row>
    <row r="103" spans="1:4" x14ac:dyDescent="0.35">
      <c r="A103" s="16">
        <v>44575</v>
      </c>
      <c r="B103" s="17">
        <v>18255.75</v>
      </c>
      <c r="C103" s="10"/>
      <c r="D103" s="19">
        <f t="shared" si="216"/>
        <v>-1.1228708258463262E-4</v>
      </c>
    </row>
    <row r="104" spans="1:4" x14ac:dyDescent="0.35">
      <c r="A104" s="16">
        <v>44578</v>
      </c>
      <c r="B104" s="17">
        <v>18308.099999999999</v>
      </c>
      <c r="C104" s="10"/>
      <c r="D104" s="19">
        <f t="shared" si="216"/>
        <v>2.8634859715560308E-3</v>
      </c>
    </row>
    <row r="105" spans="1:4" x14ac:dyDescent="0.35">
      <c r="A105" s="16">
        <v>44579</v>
      </c>
      <c r="B105" s="17">
        <v>18113.05</v>
      </c>
      <c r="C105" s="10"/>
      <c r="D105" s="19">
        <f t="shared" si="216"/>
        <v>-1.0710911914286183E-2</v>
      </c>
    </row>
    <row r="106" spans="1:4" x14ac:dyDescent="0.35">
      <c r="A106" s="16">
        <v>44580</v>
      </c>
      <c r="B106" s="17">
        <v>17938.400000000001</v>
      </c>
      <c r="C106" s="10"/>
      <c r="D106" s="19">
        <f t="shared" si="216"/>
        <v>-9.6890064780822838E-3</v>
      </c>
    </row>
    <row r="107" spans="1:4" x14ac:dyDescent="0.35">
      <c r="A107" s="16">
        <v>44581</v>
      </c>
      <c r="B107" s="17">
        <v>17757</v>
      </c>
      <c r="C107" s="10"/>
      <c r="D107" s="19">
        <f t="shared" si="216"/>
        <v>-1.0163862100486327E-2</v>
      </c>
    </row>
    <row r="108" spans="1:4" x14ac:dyDescent="0.35">
      <c r="A108" s="16">
        <v>44582</v>
      </c>
      <c r="B108" s="17">
        <v>17617.150000000001</v>
      </c>
      <c r="C108" s="10"/>
      <c r="D108" s="19">
        <f t="shared" si="216"/>
        <v>-7.9069449649056857E-3</v>
      </c>
    </row>
    <row r="109" spans="1:4" x14ac:dyDescent="0.35">
      <c r="A109" s="16">
        <v>44585</v>
      </c>
      <c r="B109" s="17">
        <v>17149.099999999999</v>
      </c>
      <c r="C109" s="10"/>
      <c r="D109" s="19">
        <f t="shared" si="216"/>
        <v>-2.6927165310979384E-2</v>
      </c>
    </row>
    <row r="110" spans="1:4" x14ac:dyDescent="0.35">
      <c r="A110" s="16">
        <v>44586</v>
      </c>
      <c r="B110" s="17">
        <v>17277.95</v>
      </c>
      <c r="C110" s="10"/>
      <c r="D110" s="19">
        <f t="shared" si="216"/>
        <v>7.4854279782373646E-3</v>
      </c>
    </row>
    <row r="111" spans="1:4" x14ac:dyDescent="0.35">
      <c r="A111" s="16">
        <v>44588</v>
      </c>
      <c r="B111" s="17">
        <v>17110.150000000001</v>
      </c>
      <c r="C111" s="10"/>
      <c r="D111" s="19">
        <f t="shared" si="216"/>
        <v>-9.7592674103367961E-3</v>
      </c>
    </row>
    <row r="112" spans="1:4" x14ac:dyDescent="0.35">
      <c r="A112" s="16">
        <v>44589</v>
      </c>
      <c r="B112" s="17">
        <v>17101.95</v>
      </c>
      <c r="C112" s="10"/>
      <c r="D112" s="19">
        <f t="shared" si="216"/>
        <v>-4.7936257388604811E-4</v>
      </c>
    </row>
    <row r="113" spans="1:4" x14ac:dyDescent="0.35">
      <c r="A113" s="16">
        <v>44592</v>
      </c>
      <c r="B113" s="17">
        <v>17339.849999999999</v>
      </c>
      <c r="C113" s="10"/>
      <c r="D113" s="19">
        <f t="shared" si="216"/>
        <v>1.3814828701121379E-2</v>
      </c>
    </row>
    <row r="114" spans="1:4" x14ac:dyDescent="0.35">
      <c r="A114" s="16">
        <v>44593</v>
      </c>
      <c r="B114" s="17">
        <v>17576.849999999999</v>
      </c>
      <c r="C114" s="10"/>
      <c r="D114" s="19">
        <f t="shared" si="216"/>
        <v>1.3575374518897244E-2</v>
      </c>
    </row>
    <row r="115" spans="1:4" x14ac:dyDescent="0.35">
      <c r="A115" s="16">
        <v>44594</v>
      </c>
      <c r="B115" s="17">
        <v>17780</v>
      </c>
      <c r="C115" s="10"/>
      <c r="D115" s="19">
        <f t="shared" si="216"/>
        <v>1.1491534770912802E-2</v>
      </c>
    </row>
    <row r="116" spans="1:4" x14ac:dyDescent="0.35">
      <c r="A116" s="16">
        <v>44595</v>
      </c>
      <c r="B116" s="17">
        <v>17560.2</v>
      </c>
      <c r="C116" s="10"/>
      <c r="D116" s="19">
        <f t="shared" si="216"/>
        <v>-1.2439252422007897E-2</v>
      </c>
    </row>
    <row r="117" spans="1:4" x14ac:dyDescent="0.35">
      <c r="A117" s="16">
        <v>44596</v>
      </c>
      <c r="B117" s="17">
        <v>17516.3</v>
      </c>
      <c r="C117" s="10"/>
      <c r="D117" s="19">
        <f t="shared" si="216"/>
        <v>-2.5031016732770949E-3</v>
      </c>
    </row>
    <row r="118" spans="1:4" x14ac:dyDescent="0.35">
      <c r="A118" s="16">
        <v>44599</v>
      </c>
      <c r="B118" s="17">
        <v>17213.599999999999</v>
      </c>
      <c r="C118" s="10"/>
      <c r="D118" s="19">
        <f t="shared" si="216"/>
        <v>-1.7432106933369305E-2</v>
      </c>
    </row>
    <row r="119" spans="1:4" x14ac:dyDescent="0.35">
      <c r="A119" s="16">
        <v>44600</v>
      </c>
      <c r="B119" s="17">
        <v>17266.75</v>
      </c>
      <c r="C119" s="10"/>
      <c r="D119" s="19">
        <f t="shared" si="216"/>
        <v>3.0829177834033228E-3</v>
      </c>
    </row>
    <row r="120" spans="1:4" x14ac:dyDescent="0.35">
      <c r="A120" s="16">
        <v>44601</v>
      </c>
      <c r="B120" s="17">
        <v>17463.8</v>
      </c>
      <c r="C120" s="10"/>
      <c r="D120" s="19">
        <f t="shared" si="216"/>
        <v>1.1347480211462859E-2</v>
      </c>
    </row>
    <row r="121" spans="1:4" x14ac:dyDescent="0.35">
      <c r="A121" s="16">
        <v>44602</v>
      </c>
      <c r="B121" s="17">
        <v>17605.849999999999</v>
      </c>
      <c r="C121" s="10"/>
      <c r="D121" s="19">
        <f t="shared" si="216"/>
        <v>8.1010661276622389E-3</v>
      </c>
    </row>
    <row r="122" spans="1:4" x14ac:dyDescent="0.35">
      <c r="A122" s="16">
        <v>44603</v>
      </c>
      <c r="B122" s="17">
        <v>17374.75</v>
      </c>
      <c r="C122" s="10"/>
      <c r="D122" s="19">
        <f t="shared" si="216"/>
        <v>-1.3213230321500876E-2</v>
      </c>
    </row>
    <row r="123" spans="1:4" x14ac:dyDescent="0.35">
      <c r="A123" s="16">
        <v>44606</v>
      </c>
      <c r="B123" s="17">
        <v>16842.8</v>
      </c>
      <c r="C123" s="10"/>
      <c r="D123" s="19">
        <f t="shared" si="216"/>
        <v>-3.1094737081558063E-2</v>
      </c>
    </row>
    <row r="124" spans="1:4" x14ac:dyDescent="0.35">
      <c r="A124" s="16">
        <v>44607</v>
      </c>
      <c r="B124" s="17">
        <v>17352.45</v>
      </c>
      <c r="C124" s="10"/>
      <c r="D124" s="19">
        <f t="shared" si="216"/>
        <v>2.9810441021687707E-2</v>
      </c>
    </row>
    <row r="125" spans="1:4" x14ac:dyDescent="0.35">
      <c r="A125" s="16">
        <v>44608</v>
      </c>
      <c r="B125" s="17">
        <v>17322.2</v>
      </c>
      <c r="C125" s="10"/>
      <c r="D125" s="19">
        <f t="shared" si="216"/>
        <v>-1.7447909452098886E-3</v>
      </c>
    </row>
    <row r="126" spans="1:4" x14ac:dyDescent="0.35">
      <c r="A126" s="16">
        <v>44609</v>
      </c>
      <c r="B126" s="17">
        <v>17304.599999999999</v>
      </c>
      <c r="C126" s="10"/>
      <c r="D126" s="19">
        <f t="shared" si="216"/>
        <v>-1.0165537396252585E-3</v>
      </c>
    </row>
    <row r="127" spans="1:4" x14ac:dyDescent="0.35">
      <c r="A127" s="16">
        <v>44610</v>
      </c>
      <c r="B127" s="17">
        <v>17276.3</v>
      </c>
      <c r="C127" s="10"/>
      <c r="D127" s="19">
        <f t="shared" si="216"/>
        <v>-1.6367420349265715E-3</v>
      </c>
    </row>
    <row r="128" spans="1:4" x14ac:dyDescent="0.35">
      <c r="A128" s="16">
        <v>44613</v>
      </c>
      <c r="B128" s="17">
        <v>17206.650000000001</v>
      </c>
      <c r="C128" s="10"/>
      <c r="D128" s="19">
        <f t="shared" si="216"/>
        <v>-4.0396830734258891E-3</v>
      </c>
    </row>
    <row r="129" spans="1:4" x14ac:dyDescent="0.35">
      <c r="A129" s="16">
        <v>44614</v>
      </c>
      <c r="B129" s="17">
        <v>17092.2</v>
      </c>
      <c r="C129" s="10"/>
      <c r="D129" s="19">
        <f t="shared" si="216"/>
        <v>-6.6737179109929989E-3</v>
      </c>
    </row>
    <row r="130" spans="1:4" x14ac:dyDescent="0.35">
      <c r="A130" s="16">
        <v>44615</v>
      </c>
      <c r="B130" s="17">
        <v>17063.25</v>
      </c>
      <c r="C130" s="10"/>
      <c r="D130" s="19">
        <f t="shared" si="216"/>
        <v>-1.6951910709848976E-3</v>
      </c>
    </row>
    <row r="131" spans="1:4" x14ac:dyDescent="0.35">
      <c r="A131" s="16">
        <v>44616</v>
      </c>
      <c r="B131" s="17">
        <v>16247.95</v>
      </c>
      <c r="C131" s="10"/>
      <c r="D131" s="19">
        <f t="shared" ref="D131:D194" si="217">LN(B131/B130)</f>
        <v>-4.8960281051569063E-2</v>
      </c>
    </row>
    <row r="132" spans="1:4" x14ac:dyDescent="0.35">
      <c r="A132" s="16">
        <v>44617</v>
      </c>
      <c r="B132" s="17">
        <v>16658.400000000001</v>
      </c>
      <c r="C132" s="10"/>
      <c r="D132" s="19">
        <f t="shared" si="217"/>
        <v>2.4947846739819746E-2</v>
      </c>
    </row>
    <row r="133" spans="1:4" x14ac:dyDescent="0.35">
      <c r="A133" s="16">
        <v>44620</v>
      </c>
      <c r="B133" s="17">
        <v>16793.900000000001</v>
      </c>
      <c r="C133" s="10"/>
      <c r="D133" s="19">
        <f t="shared" si="217"/>
        <v>8.101131524734604E-3</v>
      </c>
    </row>
    <row r="134" spans="1:4" x14ac:dyDescent="0.35">
      <c r="A134" s="16">
        <v>44622</v>
      </c>
      <c r="B134" s="17">
        <v>16605.95</v>
      </c>
      <c r="C134" s="10"/>
      <c r="D134" s="19">
        <f t="shared" si="217"/>
        <v>-1.1254660360669237E-2</v>
      </c>
    </row>
    <row r="135" spans="1:4" x14ac:dyDescent="0.35">
      <c r="A135" s="16">
        <v>44623</v>
      </c>
      <c r="B135" s="17">
        <v>16498.05</v>
      </c>
      <c r="C135" s="10"/>
      <c r="D135" s="19">
        <f t="shared" si="217"/>
        <v>-6.5188727710802086E-3</v>
      </c>
    </row>
    <row r="136" spans="1:4" x14ac:dyDescent="0.35">
      <c r="A136" s="16">
        <v>44624</v>
      </c>
      <c r="B136" s="17">
        <v>16245.35</v>
      </c>
      <c r="C136" s="10"/>
      <c r="D136" s="19">
        <f t="shared" si="217"/>
        <v>-1.5435478124563093E-2</v>
      </c>
    </row>
    <row r="137" spans="1:4" x14ac:dyDescent="0.35">
      <c r="A137" s="16">
        <v>44627</v>
      </c>
      <c r="B137" s="17">
        <v>15863.15</v>
      </c>
      <c r="C137" s="10"/>
      <c r="D137" s="19">
        <f t="shared" si="217"/>
        <v>-2.3807904631442889E-2</v>
      </c>
    </row>
    <row r="138" spans="1:4" x14ac:dyDescent="0.35">
      <c r="A138" s="16">
        <v>44628</v>
      </c>
      <c r="B138" s="17">
        <v>16013.45</v>
      </c>
      <c r="C138" s="10"/>
      <c r="D138" s="19">
        <f t="shared" si="217"/>
        <v>9.4301847641446827E-3</v>
      </c>
    </row>
    <row r="139" spans="1:4" x14ac:dyDescent="0.35">
      <c r="A139" s="16">
        <v>44629</v>
      </c>
      <c r="B139" s="17">
        <v>16345.35</v>
      </c>
      <c r="C139" s="10"/>
      <c r="D139" s="19">
        <f t="shared" si="217"/>
        <v>2.0514459110673795E-2</v>
      </c>
    </row>
    <row r="140" spans="1:4" x14ac:dyDescent="0.35">
      <c r="A140" s="16">
        <v>44630</v>
      </c>
      <c r="B140" s="17">
        <v>16594.900000000001</v>
      </c>
      <c r="C140" s="10"/>
      <c r="D140" s="19">
        <f t="shared" si="217"/>
        <v>1.5151966019218735E-2</v>
      </c>
    </row>
    <row r="141" spans="1:4" x14ac:dyDescent="0.35">
      <c r="A141" s="16">
        <v>44631</v>
      </c>
      <c r="B141" s="17">
        <v>16630.45</v>
      </c>
      <c r="C141" s="10"/>
      <c r="D141" s="19">
        <f t="shared" si="217"/>
        <v>2.1399331273389121E-3</v>
      </c>
    </row>
    <row r="142" spans="1:4" x14ac:dyDescent="0.35">
      <c r="A142" s="16">
        <v>44634</v>
      </c>
      <c r="B142" s="17">
        <v>16871.3</v>
      </c>
      <c r="C142" s="10"/>
      <c r="D142" s="19">
        <f t="shared" si="217"/>
        <v>1.4378601088806696E-2</v>
      </c>
    </row>
    <row r="143" spans="1:4" x14ac:dyDescent="0.35">
      <c r="A143" s="16">
        <v>44635</v>
      </c>
      <c r="B143" s="17">
        <v>16663</v>
      </c>
      <c r="C143" s="10"/>
      <c r="D143" s="19">
        <f t="shared" si="217"/>
        <v>-1.2423260902022252E-2</v>
      </c>
    </row>
    <row r="144" spans="1:4" x14ac:dyDescent="0.35">
      <c r="A144" s="16">
        <v>44636</v>
      </c>
      <c r="B144" s="17">
        <v>16975.349999999999</v>
      </c>
      <c r="C144" s="10"/>
      <c r="D144" s="19">
        <f t="shared" si="217"/>
        <v>1.8571599232414908E-2</v>
      </c>
    </row>
    <row r="145" spans="1:4" x14ac:dyDescent="0.35">
      <c r="A145" s="16">
        <v>44637</v>
      </c>
      <c r="B145" s="17">
        <v>17287.05</v>
      </c>
      <c r="C145" s="10"/>
      <c r="D145" s="19">
        <f t="shared" si="217"/>
        <v>1.8195374494415762E-2</v>
      </c>
    </row>
    <row r="146" spans="1:4" x14ac:dyDescent="0.35">
      <c r="A146" s="16">
        <v>44641</v>
      </c>
      <c r="B146" s="17">
        <v>17117.599999999999</v>
      </c>
      <c r="C146" s="10"/>
      <c r="D146" s="19">
        <f t="shared" si="217"/>
        <v>-9.850492312713139E-3</v>
      </c>
    </row>
    <row r="147" spans="1:4" x14ac:dyDescent="0.35">
      <c r="A147" s="16">
        <v>44642</v>
      </c>
      <c r="B147" s="17">
        <v>17315.5</v>
      </c>
      <c r="C147" s="10"/>
      <c r="D147" s="19">
        <f t="shared" si="217"/>
        <v>1.1494880163363386E-2</v>
      </c>
    </row>
    <row r="148" spans="1:4" x14ac:dyDescent="0.35">
      <c r="A148" s="16">
        <v>44643</v>
      </c>
      <c r="B148" s="17">
        <v>17245.650000000001</v>
      </c>
      <c r="C148" s="10"/>
      <c r="D148" s="19">
        <f t="shared" si="217"/>
        <v>-4.0421163708296457E-3</v>
      </c>
    </row>
    <row r="149" spans="1:4" x14ac:dyDescent="0.35">
      <c r="A149" s="16">
        <v>44644</v>
      </c>
      <c r="B149" s="17">
        <v>17222.75</v>
      </c>
      <c r="C149" s="10"/>
      <c r="D149" s="19">
        <f t="shared" si="217"/>
        <v>-1.3287534883735959E-3</v>
      </c>
    </row>
    <row r="150" spans="1:4" x14ac:dyDescent="0.35">
      <c r="A150" s="16">
        <v>44645</v>
      </c>
      <c r="B150" s="17">
        <v>17153</v>
      </c>
      <c r="C150" s="10"/>
      <c r="D150" s="19">
        <f t="shared" si="217"/>
        <v>-4.0580988470762082E-3</v>
      </c>
    </row>
    <row r="151" spans="1:4" x14ac:dyDescent="0.35">
      <c r="A151" s="16">
        <v>44648</v>
      </c>
      <c r="B151" s="17">
        <v>17222</v>
      </c>
      <c r="C151" s="10"/>
      <c r="D151" s="19">
        <f t="shared" si="217"/>
        <v>4.0145508462854406E-3</v>
      </c>
    </row>
    <row r="152" spans="1:4" x14ac:dyDescent="0.35">
      <c r="A152" s="16">
        <v>44649</v>
      </c>
      <c r="B152" s="17">
        <v>17325.3</v>
      </c>
      <c r="C152" s="10"/>
      <c r="D152" s="19">
        <f t="shared" si="217"/>
        <v>5.9802246693889541E-3</v>
      </c>
    </row>
    <row r="153" spans="1:4" x14ac:dyDescent="0.35">
      <c r="A153" s="16">
        <v>44650</v>
      </c>
      <c r="B153" s="17">
        <v>17498.25</v>
      </c>
      <c r="C153" s="10"/>
      <c r="D153" s="19">
        <f t="shared" si="217"/>
        <v>9.9330149857725092E-3</v>
      </c>
    </row>
    <row r="154" spans="1:4" x14ac:dyDescent="0.35">
      <c r="A154" s="16">
        <v>44651</v>
      </c>
      <c r="B154" s="17">
        <v>17464.75</v>
      </c>
      <c r="C154" s="10"/>
      <c r="D154" s="19">
        <f t="shared" si="217"/>
        <v>-1.916312115762529E-3</v>
      </c>
    </row>
    <row r="155" spans="1:4" x14ac:dyDescent="0.35">
      <c r="A155" s="16">
        <v>44652</v>
      </c>
      <c r="B155" s="17">
        <v>17670.45</v>
      </c>
      <c r="C155" s="10"/>
      <c r="D155" s="19">
        <f t="shared" si="217"/>
        <v>1.1709189086995933E-2</v>
      </c>
    </row>
    <row r="156" spans="1:4" x14ac:dyDescent="0.35">
      <c r="A156" s="16">
        <v>44655</v>
      </c>
      <c r="B156" s="17">
        <v>18053.400000000001</v>
      </c>
      <c r="C156" s="10"/>
      <c r="D156" s="19">
        <f t="shared" si="217"/>
        <v>2.144027979090949E-2</v>
      </c>
    </row>
    <row r="157" spans="1:4" x14ac:dyDescent="0.35">
      <c r="A157" s="16">
        <v>44656</v>
      </c>
      <c r="B157" s="17">
        <v>17957.400000000001</v>
      </c>
      <c r="C157" s="10"/>
      <c r="D157" s="19">
        <f t="shared" si="217"/>
        <v>-5.3317464438475612E-3</v>
      </c>
    </row>
    <row r="158" spans="1:4" x14ac:dyDescent="0.35">
      <c r="A158" s="16">
        <v>44657</v>
      </c>
      <c r="B158" s="17">
        <v>17807.650000000001</v>
      </c>
      <c r="C158" s="10"/>
      <c r="D158" s="19">
        <f t="shared" si="217"/>
        <v>-8.3741459954355391E-3</v>
      </c>
    </row>
    <row r="159" spans="1:4" x14ac:dyDescent="0.35">
      <c r="A159" s="16">
        <v>44658</v>
      </c>
      <c r="B159" s="17">
        <v>17639.55</v>
      </c>
      <c r="C159" s="10"/>
      <c r="D159" s="19">
        <f t="shared" si="217"/>
        <v>-9.4846002028219235E-3</v>
      </c>
    </row>
    <row r="160" spans="1:4" x14ac:dyDescent="0.35">
      <c r="A160" s="16">
        <v>44659</v>
      </c>
      <c r="B160" s="17">
        <v>17784.349999999999</v>
      </c>
      <c r="C160" s="10"/>
      <c r="D160" s="19">
        <f t="shared" si="217"/>
        <v>8.1753170308477494E-3</v>
      </c>
    </row>
    <row r="161" spans="1:4" x14ac:dyDescent="0.35">
      <c r="A161" s="16">
        <v>44662</v>
      </c>
      <c r="B161" s="17">
        <v>17674.95</v>
      </c>
      <c r="C161" s="10"/>
      <c r="D161" s="19">
        <f t="shared" si="217"/>
        <v>-6.1704741556992595E-3</v>
      </c>
    </row>
    <row r="162" spans="1:4" x14ac:dyDescent="0.35">
      <c r="A162" s="16">
        <v>44663</v>
      </c>
      <c r="B162" s="17">
        <v>17530.3</v>
      </c>
      <c r="C162" s="10"/>
      <c r="D162" s="19">
        <f t="shared" si="217"/>
        <v>-8.217570617932296E-3</v>
      </c>
    </row>
    <row r="163" spans="1:4" x14ac:dyDescent="0.35">
      <c r="A163" s="16">
        <v>44664</v>
      </c>
      <c r="B163" s="17">
        <v>17475.650000000001</v>
      </c>
      <c r="C163" s="10"/>
      <c r="D163" s="19">
        <f t="shared" si="217"/>
        <v>-3.1223288839913239E-3</v>
      </c>
    </row>
    <row r="164" spans="1:4" x14ac:dyDescent="0.35">
      <c r="A164" s="16">
        <v>44669</v>
      </c>
      <c r="B164" s="17">
        <v>17173.650000000001</v>
      </c>
      <c r="C164" s="10"/>
      <c r="D164" s="19">
        <f t="shared" si="217"/>
        <v>-1.7432251023419793E-2</v>
      </c>
    </row>
    <row r="165" spans="1:4" x14ac:dyDescent="0.35">
      <c r="A165" s="16">
        <v>44670</v>
      </c>
      <c r="B165" s="17">
        <v>16958.650000000001</v>
      </c>
      <c r="C165" s="10"/>
      <c r="D165" s="19">
        <f t="shared" si="217"/>
        <v>-1.2598204259997624E-2</v>
      </c>
    </row>
    <row r="166" spans="1:4" x14ac:dyDescent="0.35">
      <c r="A166" s="16">
        <v>44671</v>
      </c>
      <c r="B166" s="17">
        <v>17136.55</v>
      </c>
      <c r="C166" s="10"/>
      <c r="D166" s="19">
        <f t="shared" si="217"/>
        <v>1.0435581223143465E-2</v>
      </c>
    </row>
    <row r="167" spans="1:4" x14ac:dyDescent="0.35">
      <c r="A167" s="16">
        <v>44672</v>
      </c>
      <c r="B167" s="17">
        <v>17392.599999999999</v>
      </c>
      <c r="C167" s="10"/>
      <c r="D167" s="19">
        <f t="shared" si="217"/>
        <v>1.4831219041721086E-2</v>
      </c>
    </row>
    <row r="168" spans="1:4" x14ac:dyDescent="0.35">
      <c r="A168" s="16">
        <v>44673</v>
      </c>
      <c r="B168" s="17">
        <v>17171.95</v>
      </c>
      <c r="C168" s="10"/>
      <c r="D168" s="19">
        <f t="shared" si="217"/>
        <v>-1.2767589762518079E-2</v>
      </c>
    </row>
    <row r="169" spans="1:4" x14ac:dyDescent="0.35">
      <c r="A169" s="16">
        <v>44676</v>
      </c>
      <c r="B169" s="17">
        <v>16953.95</v>
      </c>
      <c r="C169" s="10"/>
      <c r="D169" s="19">
        <f t="shared" si="217"/>
        <v>-1.2776393616003143E-2</v>
      </c>
    </row>
    <row r="170" spans="1:4" x14ac:dyDescent="0.35">
      <c r="A170" s="16">
        <v>44677</v>
      </c>
      <c r="B170" s="17">
        <v>17200.8</v>
      </c>
      <c r="C170" s="10"/>
      <c r="D170" s="19">
        <f t="shared" si="217"/>
        <v>1.4455049340358107E-2</v>
      </c>
    </row>
    <row r="171" spans="1:4" x14ac:dyDescent="0.35">
      <c r="A171" s="16">
        <v>44678</v>
      </c>
      <c r="B171" s="17">
        <v>17038.400000000001</v>
      </c>
      <c r="C171" s="10"/>
      <c r="D171" s="19">
        <f t="shared" si="217"/>
        <v>-9.4862740866997596E-3</v>
      </c>
    </row>
    <row r="172" spans="1:4" x14ac:dyDescent="0.35">
      <c r="A172" s="16">
        <v>44679</v>
      </c>
      <c r="B172" s="17">
        <v>17245.05</v>
      </c>
      <c r="C172" s="10"/>
      <c r="D172" s="19">
        <f t="shared" si="217"/>
        <v>1.2055525496746364E-2</v>
      </c>
    </row>
    <row r="173" spans="1:4" x14ac:dyDescent="0.35">
      <c r="A173" s="16">
        <v>44680</v>
      </c>
      <c r="B173" s="17">
        <v>17102.55</v>
      </c>
      <c r="C173" s="10"/>
      <c r="D173" s="19">
        <f t="shared" si="217"/>
        <v>-8.297570577797668E-3</v>
      </c>
    </row>
    <row r="174" spans="1:4" x14ac:dyDescent="0.35">
      <c r="A174" s="16">
        <v>44683</v>
      </c>
      <c r="B174" s="17">
        <v>17069.099999999999</v>
      </c>
      <c r="C174" s="10"/>
      <c r="D174" s="19">
        <f t="shared" si="217"/>
        <v>-1.957763858873641E-3</v>
      </c>
    </row>
    <row r="175" spans="1:4" x14ac:dyDescent="0.35">
      <c r="A175" s="16">
        <v>44685</v>
      </c>
      <c r="B175" s="17">
        <v>16677.599999999999</v>
      </c>
      <c r="C175" s="10"/>
      <c r="D175" s="19">
        <f t="shared" si="217"/>
        <v>-2.3203309652967317E-2</v>
      </c>
    </row>
    <row r="176" spans="1:4" x14ac:dyDescent="0.35">
      <c r="A176" s="16">
        <v>44686</v>
      </c>
      <c r="B176" s="17">
        <v>16682.650000000001</v>
      </c>
      <c r="C176" s="10"/>
      <c r="D176" s="19">
        <f t="shared" si="217"/>
        <v>3.0275552722641301E-4</v>
      </c>
    </row>
    <row r="177" spans="1:4" x14ac:dyDescent="0.35">
      <c r="A177" s="16">
        <v>44687</v>
      </c>
      <c r="B177" s="17">
        <v>16411.25</v>
      </c>
      <c r="C177" s="10"/>
      <c r="D177" s="19">
        <f t="shared" si="217"/>
        <v>-1.6402181947133422E-2</v>
      </c>
    </row>
    <row r="178" spans="1:4" x14ac:dyDescent="0.35">
      <c r="A178" s="16">
        <v>44690</v>
      </c>
      <c r="B178" s="17">
        <v>16301.85</v>
      </c>
      <c r="C178" s="10"/>
      <c r="D178" s="19">
        <f t="shared" si="217"/>
        <v>-6.688476961240644E-3</v>
      </c>
    </row>
    <row r="179" spans="1:4" x14ac:dyDescent="0.35">
      <c r="A179" s="16">
        <v>44691</v>
      </c>
      <c r="B179" s="17">
        <v>16240.05</v>
      </c>
      <c r="C179" s="10"/>
      <c r="D179" s="19">
        <f t="shared" si="217"/>
        <v>-3.798184758416227E-3</v>
      </c>
    </row>
    <row r="180" spans="1:4" x14ac:dyDescent="0.35">
      <c r="A180" s="16">
        <v>44692</v>
      </c>
      <c r="B180" s="17">
        <v>16167.1</v>
      </c>
      <c r="C180" s="10"/>
      <c r="D180" s="19">
        <f t="shared" si="217"/>
        <v>-4.5021005067112096E-3</v>
      </c>
    </row>
    <row r="181" spans="1:4" x14ac:dyDescent="0.35">
      <c r="A181" s="16">
        <v>44693</v>
      </c>
      <c r="B181" s="17">
        <v>15808</v>
      </c>
      <c r="C181" s="10"/>
      <c r="D181" s="19">
        <f t="shared" si="217"/>
        <v>-2.2462172034303025E-2</v>
      </c>
    </row>
    <row r="182" spans="1:4" x14ac:dyDescent="0.35">
      <c r="A182" s="16">
        <v>44694</v>
      </c>
      <c r="B182" s="17">
        <v>15782.15</v>
      </c>
      <c r="C182" s="10"/>
      <c r="D182" s="19">
        <f t="shared" si="217"/>
        <v>-1.6365864530401846E-3</v>
      </c>
    </row>
    <row r="183" spans="1:4" x14ac:dyDescent="0.35">
      <c r="A183" s="16">
        <v>44697</v>
      </c>
      <c r="B183" s="17">
        <v>15842.3</v>
      </c>
      <c r="C183" s="10"/>
      <c r="D183" s="19">
        <f t="shared" si="217"/>
        <v>3.8040233132169052E-3</v>
      </c>
    </row>
    <row r="184" spans="1:4" x14ac:dyDescent="0.35">
      <c r="A184" s="16">
        <v>44698</v>
      </c>
      <c r="B184" s="17">
        <v>16259.3</v>
      </c>
      <c r="C184" s="10"/>
      <c r="D184" s="19">
        <f t="shared" si="217"/>
        <v>2.5981474896775072E-2</v>
      </c>
    </row>
    <row r="185" spans="1:4" x14ac:dyDescent="0.35">
      <c r="A185" s="16">
        <v>44699</v>
      </c>
      <c r="B185" s="17">
        <v>16240.3</v>
      </c>
      <c r="C185" s="10"/>
      <c r="D185" s="19">
        <f t="shared" si="217"/>
        <v>-1.1692452931500745E-3</v>
      </c>
    </row>
    <row r="186" spans="1:4" x14ac:dyDescent="0.35">
      <c r="A186" s="16">
        <v>44700</v>
      </c>
      <c r="B186" s="17">
        <v>15809.4</v>
      </c>
      <c r="C186" s="10"/>
      <c r="D186" s="19">
        <f t="shared" si="217"/>
        <v>-2.689110763221448E-2</v>
      </c>
    </row>
    <row r="187" spans="1:4" x14ac:dyDescent="0.35">
      <c r="A187" s="16">
        <v>44701</v>
      </c>
      <c r="B187" s="17">
        <v>16266.15</v>
      </c>
      <c r="C187" s="10"/>
      <c r="D187" s="19">
        <f t="shared" si="217"/>
        <v>2.8481561554378136E-2</v>
      </c>
    </row>
    <row r="188" spans="1:4" x14ac:dyDescent="0.35">
      <c r="A188" s="16">
        <v>44704</v>
      </c>
      <c r="B188" s="17">
        <v>16214.7</v>
      </c>
      <c r="C188" s="10"/>
      <c r="D188" s="19">
        <f t="shared" si="217"/>
        <v>-3.168023190952943E-3</v>
      </c>
    </row>
    <row r="189" spans="1:4" x14ac:dyDescent="0.35">
      <c r="A189" s="16">
        <v>44705</v>
      </c>
      <c r="B189" s="17">
        <v>16125.15</v>
      </c>
      <c r="C189" s="10"/>
      <c r="D189" s="19">
        <f t="shared" si="217"/>
        <v>-5.5380732363732666E-3</v>
      </c>
    </row>
    <row r="190" spans="1:4" x14ac:dyDescent="0.35">
      <c r="A190" s="16">
        <v>44706</v>
      </c>
      <c r="B190" s="17">
        <v>16025.8</v>
      </c>
      <c r="C190" s="10"/>
      <c r="D190" s="19">
        <f t="shared" si="217"/>
        <v>-6.1802414065991011E-3</v>
      </c>
    </row>
    <row r="191" spans="1:4" x14ac:dyDescent="0.35">
      <c r="A191" s="16">
        <v>44707</v>
      </c>
      <c r="B191" s="17">
        <v>16170.15</v>
      </c>
      <c r="C191" s="10"/>
      <c r="D191" s="19">
        <f t="shared" si="217"/>
        <v>8.9670264262852635E-3</v>
      </c>
    </row>
    <row r="192" spans="1:4" x14ac:dyDescent="0.35">
      <c r="A192" s="16">
        <v>44708</v>
      </c>
      <c r="B192" s="17">
        <v>16352.45</v>
      </c>
      <c r="C192" s="10"/>
      <c r="D192" s="19">
        <f t="shared" si="217"/>
        <v>1.1210783228271726E-2</v>
      </c>
    </row>
    <row r="193" spans="1:4" x14ac:dyDescent="0.35">
      <c r="A193" s="16">
        <v>44711</v>
      </c>
      <c r="B193" s="17">
        <v>16661.400000000001</v>
      </c>
      <c r="C193" s="10"/>
      <c r="D193" s="19">
        <f t="shared" si="217"/>
        <v>1.8716933609406666E-2</v>
      </c>
    </row>
    <row r="194" spans="1:4" x14ac:dyDescent="0.35">
      <c r="A194" s="16">
        <v>44712</v>
      </c>
      <c r="B194" s="17">
        <v>16584.55</v>
      </c>
      <c r="C194" s="10"/>
      <c r="D194" s="19">
        <f t="shared" si="217"/>
        <v>-4.6231277420674408E-3</v>
      </c>
    </row>
    <row r="195" spans="1:4" x14ac:dyDescent="0.35">
      <c r="A195" s="16">
        <v>44713</v>
      </c>
      <c r="B195" s="17">
        <v>16522.75</v>
      </c>
      <c r="C195" s="10"/>
      <c r="D195" s="19">
        <f t="shared" ref="D195:D258" si="218">LN(B195/B194)</f>
        <v>-3.7333199493177205E-3</v>
      </c>
    </row>
    <row r="196" spans="1:4" x14ac:dyDescent="0.35">
      <c r="A196" s="16">
        <v>44714</v>
      </c>
      <c r="B196" s="17">
        <v>16628</v>
      </c>
      <c r="C196" s="10"/>
      <c r="D196" s="19">
        <f t="shared" si="218"/>
        <v>6.3498022602603054E-3</v>
      </c>
    </row>
    <row r="197" spans="1:4" x14ac:dyDescent="0.35">
      <c r="A197" s="16">
        <v>44715</v>
      </c>
      <c r="B197" s="17">
        <v>16584.3</v>
      </c>
      <c r="C197" s="10"/>
      <c r="D197" s="19">
        <f t="shared" si="218"/>
        <v>-2.6315566954934781E-3</v>
      </c>
    </row>
    <row r="198" spans="1:4" x14ac:dyDescent="0.35">
      <c r="A198" s="16">
        <v>44718</v>
      </c>
      <c r="B198" s="17">
        <v>16569.55</v>
      </c>
      <c r="C198" s="10"/>
      <c r="D198" s="19">
        <f t="shared" si="218"/>
        <v>-8.8979113877667301E-4</v>
      </c>
    </row>
    <row r="199" spans="1:4" x14ac:dyDescent="0.35">
      <c r="A199" s="16">
        <v>44719</v>
      </c>
      <c r="B199" s="17">
        <v>16416.349999999999</v>
      </c>
      <c r="C199" s="10"/>
      <c r="D199" s="19">
        <f t="shared" si="218"/>
        <v>-9.2888841322758733E-3</v>
      </c>
    </row>
    <row r="200" spans="1:4" x14ac:dyDescent="0.35">
      <c r="A200" s="16">
        <v>44720</v>
      </c>
      <c r="B200" s="17">
        <v>16356.25</v>
      </c>
      <c r="C200" s="10"/>
      <c r="D200" s="19">
        <f t="shared" si="218"/>
        <v>-3.6677021275259834E-3</v>
      </c>
    </row>
    <row r="201" spans="1:4" x14ac:dyDescent="0.35">
      <c r="A201" s="16">
        <v>44721</v>
      </c>
      <c r="B201" s="17">
        <v>16478.099999999999</v>
      </c>
      <c r="C201" s="10"/>
      <c r="D201" s="19">
        <f t="shared" si="218"/>
        <v>7.4221392763222718E-3</v>
      </c>
    </row>
    <row r="202" spans="1:4" x14ac:dyDescent="0.35">
      <c r="A202" s="16">
        <v>44722</v>
      </c>
      <c r="B202" s="17">
        <v>16201.8</v>
      </c>
      <c r="C202" s="10"/>
      <c r="D202" s="19">
        <f t="shared" si="218"/>
        <v>-1.6909879395574055E-2</v>
      </c>
    </row>
    <row r="203" spans="1:4" x14ac:dyDescent="0.35">
      <c r="A203" s="16">
        <v>44725</v>
      </c>
      <c r="B203" s="17">
        <v>15774.4</v>
      </c>
      <c r="C203" s="10"/>
      <c r="D203" s="19">
        <f t="shared" si="218"/>
        <v>-2.6733974338427311E-2</v>
      </c>
    </row>
    <row r="204" spans="1:4" x14ac:dyDescent="0.35">
      <c r="A204" s="16">
        <v>44726</v>
      </c>
      <c r="B204" s="17">
        <v>15732.1</v>
      </c>
      <c r="C204" s="10"/>
      <c r="D204" s="19">
        <f t="shared" si="218"/>
        <v>-2.6851618183916293E-3</v>
      </c>
    </row>
    <row r="205" spans="1:4" x14ac:dyDescent="0.35">
      <c r="A205" s="16">
        <v>44727</v>
      </c>
      <c r="B205" s="17">
        <v>15692.15</v>
      </c>
      <c r="C205" s="10"/>
      <c r="D205" s="19">
        <f t="shared" si="218"/>
        <v>-2.5426237076681558E-3</v>
      </c>
    </row>
    <row r="206" spans="1:4" x14ac:dyDescent="0.35">
      <c r="A206" s="16">
        <v>44728</v>
      </c>
      <c r="B206" s="17">
        <v>15360.6</v>
      </c>
      <c r="C206" s="10"/>
      <c r="D206" s="19">
        <f t="shared" si="218"/>
        <v>-2.135479785597345E-2</v>
      </c>
    </row>
    <row r="207" spans="1:4" x14ac:dyDescent="0.35">
      <c r="A207" s="16">
        <v>44729</v>
      </c>
      <c r="B207" s="17">
        <v>15293.5</v>
      </c>
      <c r="C207" s="10"/>
      <c r="D207" s="19">
        <f t="shared" si="218"/>
        <v>-4.3778879281600415E-3</v>
      </c>
    </row>
    <row r="208" spans="1:4" x14ac:dyDescent="0.35">
      <c r="A208" s="16">
        <v>44732</v>
      </c>
      <c r="B208" s="17">
        <v>15350.15</v>
      </c>
      <c r="C208" s="10"/>
      <c r="D208" s="19">
        <f t="shared" si="218"/>
        <v>3.6973444439847482E-3</v>
      </c>
    </row>
    <row r="209" spans="1:4" x14ac:dyDescent="0.35">
      <c r="A209" s="16">
        <v>44733</v>
      </c>
      <c r="B209" s="17">
        <v>15638.8</v>
      </c>
      <c r="C209" s="10"/>
      <c r="D209" s="19">
        <f t="shared" si="218"/>
        <v>1.86297598584063E-2</v>
      </c>
    </row>
    <row r="210" spans="1:4" x14ac:dyDescent="0.35">
      <c r="A210" s="16">
        <v>44734</v>
      </c>
      <c r="B210" s="17">
        <v>15413.3</v>
      </c>
      <c r="C210" s="10"/>
      <c r="D210" s="19">
        <f t="shared" si="218"/>
        <v>-1.4524232766921568E-2</v>
      </c>
    </row>
    <row r="211" spans="1:4" x14ac:dyDescent="0.35">
      <c r="A211" s="16">
        <v>44735</v>
      </c>
      <c r="B211" s="17">
        <v>15556.65</v>
      </c>
      <c r="C211" s="10"/>
      <c r="D211" s="19">
        <f t="shared" si="218"/>
        <v>9.2574268770784281E-3</v>
      </c>
    </row>
    <row r="212" spans="1:4" x14ac:dyDescent="0.35">
      <c r="A212" s="16">
        <v>44736</v>
      </c>
      <c r="B212" s="17">
        <v>15699.25</v>
      </c>
      <c r="C212" s="10"/>
      <c r="D212" s="19">
        <f t="shared" si="218"/>
        <v>9.1247405715748336E-3</v>
      </c>
    </row>
    <row r="213" spans="1:4" x14ac:dyDescent="0.35">
      <c r="A213" s="16">
        <v>44739</v>
      </c>
      <c r="B213" s="17">
        <v>15832.05</v>
      </c>
      <c r="C213" s="10"/>
      <c r="D213" s="19">
        <f t="shared" si="218"/>
        <v>8.4234259433956932E-3</v>
      </c>
    </row>
    <row r="214" spans="1:4" x14ac:dyDescent="0.35">
      <c r="A214" s="16">
        <v>44740</v>
      </c>
      <c r="B214" s="17">
        <v>15850.2</v>
      </c>
      <c r="C214" s="10"/>
      <c r="D214" s="19">
        <f t="shared" si="218"/>
        <v>1.1457520842448876E-3</v>
      </c>
    </row>
    <row r="215" spans="1:4" x14ac:dyDescent="0.35">
      <c r="A215" s="16">
        <v>44741</v>
      </c>
      <c r="B215" s="17">
        <v>15799.1</v>
      </c>
      <c r="C215" s="10"/>
      <c r="D215" s="19">
        <f t="shared" si="218"/>
        <v>-3.2291421550026864E-3</v>
      </c>
    </row>
    <row r="216" spans="1:4" x14ac:dyDescent="0.35">
      <c r="A216" s="16">
        <v>44742</v>
      </c>
      <c r="B216" s="17">
        <v>15780.25</v>
      </c>
      <c r="C216" s="10"/>
      <c r="D216" s="19">
        <f t="shared" si="218"/>
        <v>-1.1938182539383846E-3</v>
      </c>
    </row>
    <row r="217" spans="1:4" x14ac:dyDescent="0.35">
      <c r="A217" s="16">
        <v>44743</v>
      </c>
      <c r="B217" s="17">
        <v>15752.05</v>
      </c>
      <c r="C217" s="10"/>
      <c r="D217" s="19">
        <f t="shared" si="218"/>
        <v>-1.7886425993802585E-3</v>
      </c>
    </row>
    <row r="218" spans="1:4" x14ac:dyDescent="0.35">
      <c r="A218" s="16">
        <v>44746</v>
      </c>
      <c r="B218" s="17">
        <v>15835.35</v>
      </c>
      <c r="C218" s="10"/>
      <c r="D218" s="19">
        <f t="shared" si="218"/>
        <v>5.2742671509817375E-3</v>
      </c>
    </row>
    <row r="219" spans="1:4" x14ac:dyDescent="0.35">
      <c r="A219" s="16">
        <v>44747</v>
      </c>
      <c r="B219" s="17">
        <v>15810.85</v>
      </c>
      <c r="C219" s="10"/>
      <c r="D219" s="19">
        <f t="shared" si="218"/>
        <v>-1.5483694658309363E-3</v>
      </c>
    </row>
    <row r="220" spans="1:4" x14ac:dyDescent="0.35">
      <c r="A220" s="16">
        <v>44748</v>
      </c>
      <c r="B220" s="17">
        <v>15989.8</v>
      </c>
      <c r="C220" s="10"/>
      <c r="D220" s="19">
        <f t="shared" si="218"/>
        <v>1.1254605733214696E-2</v>
      </c>
    </row>
    <row r="221" spans="1:4" x14ac:dyDescent="0.35">
      <c r="A221" s="16">
        <v>44749</v>
      </c>
      <c r="B221" s="17">
        <v>16132.9</v>
      </c>
      <c r="C221" s="10"/>
      <c r="D221" s="19">
        <f t="shared" si="218"/>
        <v>8.9096462393676076E-3</v>
      </c>
    </row>
    <row r="222" spans="1:4" x14ac:dyDescent="0.35">
      <c r="A222" s="16">
        <v>44750</v>
      </c>
      <c r="B222" s="17">
        <v>16220.6</v>
      </c>
      <c r="C222" s="10"/>
      <c r="D222" s="19">
        <f t="shared" si="218"/>
        <v>5.4213741821626388E-3</v>
      </c>
    </row>
    <row r="223" spans="1:4" x14ac:dyDescent="0.35">
      <c r="A223" s="16">
        <v>44753</v>
      </c>
      <c r="B223" s="17">
        <v>16216</v>
      </c>
      <c r="C223" s="10"/>
      <c r="D223" s="19">
        <f t="shared" si="218"/>
        <v>-2.8363022208483917E-4</v>
      </c>
    </row>
    <row r="224" spans="1:4" x14ac:dyDescent="0.35">
      <c r="A224" s="16">
        <v>44754</v>
      </c>
      <c r="B224" s="17">
        <v>16058.3</v>
      </c>
      <c r="C224" s="10"/>
      <c r="D224" s="19">
        <f t="shared" si="218"/>
        <v>-9.7725592849715257E-3</v>
      </c>
    </row>
    <row r="225" spans="1:4" x14ac:dyDescent="0.35">
      <c r="A225" s="16">
        <v>44755</v>
      </c>
      <c r="B225" s="17">
        <v>15966.65</v>
      </c>
      <c r="C225" s="10"/>
      <c r="D225" s="19">
        <f t="shared" si="218"/>
        <v>-5.7236779578485313E-3</v>
      </c>
    </row>
    <row r="226" spans="1:4" x14ac:dyDescent="0.35">
      <c r="A226" s="16">
        <v>44756</v>
      </c>
      <c r="B226" s="17">
        <v>15938.65</v>
      </c>
      <c r="C226" s="10"/>
      <c r="D226" s="19">
        <f t="shared" si="218"/>
        <v>-1.7551947286701716E-3</v>
      </c>
    </row>
    <row r="227" spans="1:4" x14ac:dyDescent="0.35">
      <c r="A227" s="16">
        <v>44757</v>
      </c>
      <c r="B227" s="17">
        <v>16049.2</v>
      </c>
      <c r="C227" s="10"/>
      <c r="D227" s="19">
        <f t="shared" si="218"/>
        <v>6.9120269187908055E-3</v>
      </c>
    </row>
    <row r="228" spans="1:4" x14ac:dyDescent="0.35">
      <c r="A228" s="16">
        <v>44760</v>
      </c>
      <c r="B228" s="17">
        <v>16278.5</v>
      </c>
      <c r="C228" s="10"/>
      <c r="D228" s="19">
        <f t="shared" si="218"/>
        <v>1.4186214640328329E-2</v>
      </c>
    </row>
    <row r="229" spans="1:4" x14ac:dyDescent="0.35">
      <c r="A229" s="16">
        <v>44761</v>
      </c>
      <c r="B229" s="17">
        <v>16340.55</v>
      </c>
      <c r="C229" s="10"/>
      <c r="D229" s="19">
        <f t="shared" si="218"/>
        <v>3.8045298587748868E-3</v>
      </c>
    </row>
    <row r="230" spans="1:4" x14ac:dyDescent="0.35">
      <c r="A230" s="16">
        <v>44762</v>
      </c>
      <c r="B230" s="17">
        <v>16520.849999999999</v>
      </c>
      <c r="C230" s="10"/>
      <c r="D230" s="19">
        <f t="shared" si="218"/>
        <v>1.0973470957583456E-2</v>
      </c>
    </row>
    <row r="231" spans="1:4" x14ac:dyDescent="0.35">
      <c r="A231" s="16">
        <v>44763</v>
      </c>
      <c r="B231" s="17">
        <v>16605.25</v>
      </c>
      <c r="C231" s="10"/>
      <c r="D231" s="19">
        <f t="shared" si="218"/>
        <v>5.0956908678000479E-3</v>
      </c>
    </row>
    <row r="232" spans="1:4" x14ac:dyDescent="0.35">
      <c r="A232" s="16">
        <v>44764</v>
      </c>
      <c r="B232" s="17">
        <v>16719.45</v>
      </c>
      <c r="C232" s="10"/>
      <c r="D232" s="19">
        <f t="shared" si="218"/>
        <v>6.8538019571832377E-3</v>
      </c>
    </row>
    <row r="233" spans="1:4" x14ac:dyDescent="0.35">
      <c r="A233" s="16">
        <v>44767</v>
      </c>
      <c r="B233" s="17">
        <v>16631</v>
      </c>
      <c r="C233" s="10"/>
      <c r="D233" s="19">
        <f t="shared" si="218"/>
        <v>-5.3042886906669159E-3</v>
      </c>
    </row>
    <row r="234" spans="1:4" x14ac:dyDescent="0.35">
      <c r="A234" s="16">
        <v>44768</v>
      </c>
      <c r="B234" s="17">
        <v>16483.849999999999</v>
      </c>
      <c r="C234" s="10"/>
      <c r="D234" s="19">
        <f t="shared" si="218"/>
        <v>-8.8873099859093849E-3</v>
      </c>
    </row>
    <row r="235" spans="1:4" x14ac:dyDescent="0.35">
      <c r="A235" s="16">
        <v>44769</v>
      </c>
      <c r="B235" s="17">
        <v>16641.8</v>
      </c>
      <c r="C235" s="10"/>
      <c r="D235" s="19">
        <f t="shared" si="218"/>
        <v>9.5364889176067225E-3</v>
      </c>
    </row>
    <row r="236" spans="1:4" x14ac:dyDescent="0.35">
      <c r="A236" s="16">
        <v>44770</v>
      </c>
      <c r="B236" s="17">
        <v>16929.599999999999</v>
      </c>
      <c r="C236" s="10"/>
      <c r="D236" s="19">
        <f t="shared" si="218"/>
        <v>1.7145966548059971E-2</v>
      </c>
    </row>
    <row r="237" spans="1:4" x14ac:dyDescent="0.35">
      <c r="A237" s="16">
        <v>44771</v>
      </c>
      <c r="B237" s="17">
        <v>17158.25</v>
      </c>
      <c r="C237" s="10"/>
      <c r="D237" s="19">
        <f t="shared" si="218"/>
        <v>1.341553833962306E-2</v>
      </c>
    </row>
    <row r="238" spans="1:4" x14ac:dyDescent="0.35">
      <c r="A238" s="16">
        <v>44774</v>
      </c>
      <c r="B238" s="17">
        <v>17340.05</v>
      </c>
      <c r="C238" s="10"/>
      <c r="D238" s="19">
        <f t="shared" si="218"/>
        <v>1.0539747347198897E-2</v>
      </c>
    </row>
    <row r="239" spans="1:4" x14ac:dyDescent="0.35">
      <c r="A239" s="16">
        <v>44775</v>
      </c>
      <c r="B239" s="17">
        <v>17345.45</v>
      </c>
      <c r="C239" s="10"/>
      <c r="D239" s="19">
        <f t="shared" si="218"/>
        <v>3.1136930669172061E-4</v>
      </c>
    </row>
    <row r="240" spans="1:4" x14ac:dyDescent="0.35">
      <c r="A240" s="16">
        <v>44776</v>
      </c>
      <c r="B240" s="17">
        <v>17388.150000000001</v>
      </c>
      <c r="C240" s="10"/>
      <c r="D240" s="19">
        <f t="shared" si="218"/>
        <v>2.4587155671240059E-3</v>
      </c>
    </row>
    <row r="241" spans="1:4" x14ac:dyDescent="0.35">
      <c r="A241" s="16">
        <v>44777</v>
      </c>
      <c r="B241" s="17">
        <v>17382</v>
      </c>
      <c r="C241" s="10"/>
      <c r="D241" s="19">
        <f t="shared" si="218"/>
        <v>-3.5375171312953282E-4</v>
      </c>
    </row>
    <row r="242" spans="1:4" x14ac:dyDescent="0.35">
      <c r="A242" s="16">
        <v>44778</v>
      </c>
      <c r="B242" s="17">
        <v>17397.5</v>
      </c>
      <c r="C242" s="10"/>
      <c r="D242" s="19">
        <f t="shared" si="218"/>
        <v>8.9132972159968534E-4</v>
      </c>
    </row>
    <row r="243" spans="1:4" x14ac:dyDescent="0.35">
      <c r="A243" s="16">
        <v>44781</v>
      </c>
      <c r="B243" s="17">
        <v>17525.099999999999</v>
      </c>
      <c r="C243" s="10"/>
      <c r="D243" s="19">
        <f t="shared" si="218"/>
        <v>7.3076213015998703E-3</v>
      </c>
    </row>
    <row r="244" spans="1:4" x14ac:dyDescent="0.35">
      <c r="A244" s="16">
        <v>44783</v>
      </c>
      <c r="B244" s="17">
        <v>17534.75</v>
      </c>
      <c r="C244" s="10"/>
      <c r="D244" s="19">
        <f t="shared" si="218"/>
        <v>5.5048725215279116E-4</v>
      </c>
    </row>
    <row r="245" spans="1:4" x14ac:dyDescent="0.35">
      <c r="A245" s="16">
        <v>44784</v>
      </c>
      <c r="B245" s="17">
        <v>17659</v>
      </c>
      <c r="C245" s="10"/>
      <c r="D245" s="19">
        <f t="shared" si="218"/>
        <v>7.0609421403666373E-3</v>
      </c>
    </row>
    <row r="246" spans="1:4" x14ac:dyDescent="0.35">
      <c r="A246" s="16">
        <v>44785</v>
      </c>
      <c r="B246" s="17">
        <v>17698.150000000001</v>
      </c>
      <c r="C246" s="10"/>
      <c r="D246" s="19">
        <f t="shared" si="218"/>
        <v>2.2145459122128799E-3</v>
      </c>
    </row>
    <row r="247" spans="1:4" x14ac:dyDescent="0.35">
      <c r="A247" s="16">
        <v>44789</v>
      </c>
      <c r="B247" s="17">
        <v>17825.25</v>
      </c>
      <c r="C247" s="10"/>
      <c r="D247" s="19">
        <f t="shared" si="218"/>
        <v>7.1558771042484594E-3</v>
      </c>
    </row>
    <row r="248" spans="1:4" x14ac:dyDescent="0.35">
      <c r="A248" s="16">
        <v>44790</v>
      </c>
      <c r="B248" s="17">
        <v>17944.25</v>
      </c>
      <c r="C248" s="10"/>
      <c r="D248" s="19">
        <f t="shared" si="218"/>
        <v>6.6537379070216564E-3</v>
      </c>
    </row>
    <row r="249" spans="1:4" x14ac:dyDescent="0.35">
      <c r="A249" s="16">
        <v>44791</v>
      </c>
      <c r="B249" s="17">
        <v>17956.5</v>
      </c>
      <c r="C249" s="10"/>
      <c r="D249" s="19">
        <f t="shared" si="218"/>
        <v>6.8243702292707423E-4</v>
      </c>
    </row>
    <row r="250" spans="1:4" x14ac:dyDescent="0.35">
      <c r="A250" s="16">
        <v>44792</v>
      </c>
      <c r="B250" s="17">
        <v>17758.45</v>
      </c>
      <c r="C250" s="10"/>
      <c r="D250" s="19">
        <f t="shared" si="218"/>
        <v>-1.1090707396812729E-2</v>
      </c>
    </row>
    <row r="251" spans="1:4" x14ac:dyDescent="0.35">
      <c r="A251" s="16">
        <v>44795</v>
      </c>
      <c r="B251" s="17">
        <v>17490.7</v>
      </c>
      <c r="C251" s="10"/>
      <c r="D251" s="19">
        <f t="shared" si="218"/>
        <v>-1.519214788075593E-2</v>
      </c>
    </row>
    <row r="252" spans="1:4" x14ac:dyDescent="0.35">
      <c r="A252" s="16">
        <v>44796</v>
      </c>
      <c r="B252" s="17">
        <v>17577.5</v>
      </c>
      <c r="C252" s="10"/>
      <c r="D252" s="19">
        <f t="shared" si="218"/>
        <v>4.9503639913507161E-3</v>
      </c>
    </row>
    <row r="253" spans="1:4" x14ac:dyDescent="0.35">
      <c r="A253" s="16">
        <v>44797</v>
      </c>
      <c r="B253" s="17">
        <v>17604.95</v>
      </c>
      <c r="C253" s="10"/>
      <c r="D253" s="19">
        <f t="shared" si="218"/>
        <v>1.5604374095596946E-3</v>
      </c>
    </row>
    <row r="254" spans="1:4" x14ac:dyDescent="0.35">
      <c r="A254" s="16">
        <v>44798</v>
      </c>
      <c r="B254" s="17">
        <v>17522.45</v>
      </c>
      <c r="C254" s="10"/>
      <c r="D254" s="19">
        <f t="shared" si="218"/>
        <v>-4.6971965865721787E-3</v>
      </c>
    </row>
    <row r="255" spans="1:4" x14ac:dyDescent="0.35">
      <c r="A255" s="16">
        <v>44799</v>
      </c>
      <c r="B255" s="17">
        <v>17558.900000000001</v>
      </c>
      <c r="C255" s="10"/>
      <c r="D255" s="19">
        <f t="shared" si="218"/>
        <v>2.0780279616681788E-3</v>
      </c>
    </row>
    <row r="256" spans="1:4" x14ac:dyDescent="0.35">
      <c r="A256" s="16">
        <v>44802</v>
      </c>
      <c r="B256" s="17">
        <v>17312.900000000001</v>
      </c>
      <c r="C256" s="10"/>
      <c r="D256" s="19">
        <f t="shared" si="218"/>
        <v>-1.4109055502046193E-2</v>
      </c>
    </row>
    <row r="257" spans="1:4" x14ac:dyDescent="0.35">
      <c r="A257" s="16">
        <v>44803</v>
      </c>
      <c r="B257" s="17">
        <v>17759.3</v>
      </c>
      <c r="C257" s="10"/>
      <c r="D257" s="19">
        <f t="shared" si="218"/>
        <v>2.5457433999052224E-2</v>
      </c>
    </row>
    <row r="258" spans="1:4" x14ac:dyDescent="0.35">
      <c r="A258" s="16">
        <v>44805</v>
      </c>
      <c r="B258" s="17">
        <v>17542.8</v>
      </c>
      <c r="C258" s="10"/>
      <c r="D258" s="19">
        <f t="shared" si="218"/>
        <v>-1.226571304940768E-2</v>
      </c>
    </row>
    <row r="259" spans="1:4" x14ac:dyDescent="0.35">
      <c r="A259" s="16">
        <v>44806</v>
      </c>
      <c r="B259" s="17">
        <v>17539.45</v>
      </c>
      <c r="C259" s="10"/>
      <c r="D259" s="19">
        <f t="shared" ref="D259:D322" si="219">LN(B259/B258)</f>
        <v>-1.9097976955190739E-4</v>
      </c>
    </row>
    <row r="260" spans="1:4" x14ac:dyDescent="0.35">
      <c r="A260" s="16">
        <v>44809</v>
      </c>
      <c r="B260" s="17">
        <v>17665.8</v>
      </c>
      <c r="C260" s="10"/>
      <c r="D260" s="19">
        <f t="shared" si="219"/>
        <v>7.1779375230424077E-3</v>
      </c>
    </row>
    <row r="261" spans="1:4" x14ac:dyDescent="0.35">
      <c r="A261" s="16">
        <v>44810</v>
      </c>
      <c r="B261" s="17">
        <v>17655.599999999999</v>
      </c>
      <c r="C261" s="10"/>
      <c r="D261" s="19">
        <f t="shared" si="219"/>
        <v>-5.7755356715944719E-4</v>
      </c>
    </row>
    <row r="262" spans="1:4" x14ac:dyDescent="0.35">
      <c r="A262" s="16">
        <v>44811</v>
      </c>
      <c r="B262" s="17">
        <v>17624.400000000001</v>
      </c>
      <c r="C262" s="10"/>
      <c r="D262" s="19">
        <f t="shared" si="219"/>
        <v>-1.7687079440843621E-3</v>
      </c>
    </row>
    <row r="263" spans="1:4" x14ac:dyDescent="0.35">
      <c r="A263" s="16">
        <v>44812</v>
      </c>
      <c r="B263" s="17">
        <v>17798.75</v>
      </c>
      <c r="C263" s="10"/>
      <c r="D263" s="19">
        <f t="shared" si="219"/>
        <v>9.8439245473871447E-3</v>
      </c>
    </row>
    <row r="264" spans="1:4" x14ac:dyDescent="0.35">
      <c r="A264" s="16">
        <v>44813</v>
      </c>
      <c r="B264" s="17">
        <v>17833.349999999999</v>
      </c>
      <c r="C264" s="10"/>
      <c r="D264" s="19">
        <f t="shared" si="219"/>
        <v>1.9420696997862557E-3</v>
      </c>
    </row>
    <row r="265" spans="1:4" x14ac:dyDescent="0.35">
      <c r="A265" s="16">
        <v>44816</v>
      </c>
      <c r="B265" s="17">
        <v>17936.349999999999</v>
      </c>
      <c r="C265" s="10"/>
      <c r="D265" s="19">
        <f t="shared" si="219"/>
        <v>5.7590801534984177E-3</v>
      </c>
    </row>
    <row r="266" spans="1:4" x14ac:dyDescent="0.35">
      <c r="A266" s="16">
        <v>44817</v>
      </c>
      <c r="B266" s="17">
        <v>18070.05</v>
      </c>
      <c r="C266" s="10"/>
      <c r="D266" s="19">
        <f t="shared" si="219"/>
        <v>7.4264916511124004E-3</v>
      </c>
    </row>
    <row r="267" spans="1:4" x14ac:dyDescent="0.35">
      <c r="A267" s="16">
        <v>44818</v>
      </c>
      <c r="B267" s="17">
        <v>18003.75</v>
      </c>
      <c r="C267" s="10"/>
      <c r="D267" s="19">
        <f t="shared" si="219"/>
        <v>-3.6758020863416896E-3</v>
      </c>
    </row>
    <row r="268" spans="1:4" x14ac:dyDescent="0.35">
      <c r="A268" s="16">
        <v>44819</v>
      </c>
      <c r="B268" s="17">
        <v>17877.400000000001</v>
      </c>
      <c r="C268" s="10"/>
      <c r="D268" s="19">
        <f t="shared" si="219"/>
        <v>-7.0427242296225243E-3</v>
      </c>
    </row>
    <row r="269" spans="1:4" x14ac:dyDescent="0.35">
      <c r="A269" s="16">
        <v>44820</v>
      </c>
      <c r="B269" s="17">
        <v>17530.849999999999</v>
      </c>
      <c r="C269" s="10"/>
      <c r="D269" s="19">
        <f t="shared" si="219"/>
        <v>-1.9575159238115449E-2</v>
      </c>
    </row>
    <row r="270" spans="1:4" x14ac:dyDescent="0.35">
      <c r="A270" s="16">
        <v>44823</v>
      </c>
      <c r="B270" s="17">
        <v>17622.25</v>
      </c>
      <c r="C270" s="10"/>
      <c r="D270" s="19">
        <f t="shared" si="219"/>
        <v>5.2001220924611218E-3</v>
      </c>
    </row>
    <row r="271" spans="1:4" x14ac:dyDescent="0.35">
      <c r="A271" s="16">
        <v>44824</v>
      </c>
      <c r="B271" s="17">
        <v>17816.25</v>
      </c>
      <c r="C271" s="10"/>
      <c r="D271" s="19">
        <f t="shared" si="219"/>
        <v>1.0948654031257964E-2</v>
      </c>
    </row>
    <row r="272" spans="1:4" x14ac:dyDescent="0.35">
      <c r="A272" s="16">
        <v>44825</v>
      </c>
      <c r="B272" s="17">
        <v>17718.349999999999</v>
      </c>
      <c r="C272" s="10"/>
      <c r="D272" s="19">
        <f t="shared" si="219"/>
        <v>-5.5101364698046914E-3</v>
      </c>
    </row>
    <row r="273" spans="1:4" x14ac:dyDescent="0.35">
      <c r="A273" s="16">
        <v>44826</v>
      </c>
      <c r="B273" s="17">
        <v>17629.8</v>
      </c>
      <c r="C273" s="10"/>
      <c r="D273" s="19">
        <f t="shared" si="219"/>
        <v>-5.0101736713567694E-3</v>
      </c>
    </row>
    <row r="274" spans="1:4" x14ac:dyDescent="0.35">
      <c r="A274" s="16">
        <v>44827</v>
      </c>
      <c r="B274" s="17">
        <v>17327.349999999999</v>
      </c>
      <c r="C274" s="10"/>
      <c r="D274" s="19">
        <f t="shared" si="219"/>
        <v>-1.7304474032895981E-2</v>
      </c>
    </row>
    <row r="275" spans="1:4" x14ac:dyDescent="0.35">
      <c r="A275" s="16">
        <v>44830</v>
      </c>
      <c r="B275" s="17">
        <v>17016.3</v>
      </c>
      <c r="C275" s="10"/>
      <c r="D275" s="19">
        <f t="shared" si="219"/>
        <v>-1.8114469805080784E-2</v>
      </c>
    </row>
    <row r="276" spans="1:4" x14ac:dyDescent="0.35">
      <c r="A276" s="16">
        <v>44831</v>
      </c>
      <c r="B276" s="17">
        <v>17007.400000000001</v>
      </c>
      <c r="C276" s="10"/>
      <c r="D276" s="19">
        <f t="shared" si="219"/>
        <v>-5.2316474710229822E-4</v>
      </c>
    </row>
    <row r="277" spans="1:4" x14ac:dyDescent="0.35">
      <c r="A277" s="16">
        <v>44832</v>
      </c>
      <c r="B277" s="17">
        <v>16858.599999999999</v>
      </c>
      <c r="C277" s="10"/>
      <c r="D277" s="19">
        <f t="shared" si="219"/>
        <v>-8.7876311083257466E-3</v>
      </c>
    </row>
    <row r="278" spans="1:4" x14ac:dyDescent="0.35">
      <c r="A278" s="16">
        <v>44833</v>
      </c>
      <c r="B278" s="17">
        <v>16818.099999999999</v>
      </c>
      <c r="C278" s="10"/>
      <c r="D278" s="19">
        <f t="shared" si="219"/>
        <v>-2.4052249492814721E-3</v>
      </c>
    </row>
    <row r="279" spans="1:4" x14ac:dyDescent="0.35">
      <c r="A279" s="16">
        <v>44834</v>
      </c>
      <c r="B279" s="17">
        <v>17094.349999999999</v>
      </c>
      <c r="C279" s="10"/>
      <c r="D279" s="19">
        <f t="shared" si="219"/>
        <v>1.6292312151434972E-2</v>
      </c>
    </row>
    <row r="280" spans="1:4" x14ac:dyDescent="0.35">
      <c r="A280" s="16">
        <v>44837</v>
      </c>
      <c r="B280" s="17">
        <v>16887.349999999999</v>
      </c>
      <c r="C280" s="10"/>
      <c r="D280" s="19">
        <f t="shared" si="219"/>
        <v>-1.2183178617222033E-2</v>
      </c>
    </row>
    <row r="281" spans="1:4" x14ac:dyDescent="0.35">
      <c r="A281" s="16">
        <v>44838</v>
      </c>
      <c r="B281" s="17">
        <v>17274.3</v>
      </c>
      <c r="C281" s="10"/>
      <c r="D281" s="19">
        <f t="shared" si="219"/>
        <v>2.2655026911186513E-2</v>
      </c>
    </row>
    <row r="282" spans="1:4" x14ac:dyDescent="0.35">
      <c r="A282" s="16">
        <v>44840</v>
      </c>
      <c r="B282" s="17">
        <v>17331.8</v>
      </c>
      <c r="C282" s="10"/>
      <c r="D282" s="19">
        <f t="shared" si="219"/>
        <v>3.3231166132481811E-3</v>
      </c>
    </row>
    <row r="283" spans="1:4" x14ac:dyDescent="0.35">
      <c r="A283" s="16">
        <v>44841</v>
      </c>
      <c r="B283" s="17">
        <v>17314.650000000001</v>
      </c>
      <c r="C283" s="10"/>
      <c r="D283" s="19">
        <f t="shared" si="219"/>
        <v>-9.900004993715066E-4</v>
      </c>
    </row>
    <row r="284" spans="1:4" x14ac:dyDescent="0.35">
      <c r="A284" s="16">
        <v>44844</v>
      </c>
      <c r="B284" s="17">
        <v>17241</v>
      </c>
      <c r="C284" s="10"/>
      <c r="D284" s="19">
        <f t="shared" si="219"/>
        <v>-4.2626957688177139E-3</v>
      </c>
    </row>
    <row r="285" spans="1:4" x14ac:dyDescent="0.35">
      <c r="A285" s="16">
        <v>44845</v>
      </c>
      <c r="B285" s="17">
        <v>16983.55</v>
      </c>
      <c r="C285" s="10"/>
      <c r="D285" s="19">
        <f t="shared" si="219"/>
        <v>-1.504503966897207E-2</v>
      </c>
    </row>
    <row r="286" spans="1:4" x14ac:dyDescent="0.35">
      <c r="A286" s="16">
        <v>44846</v>
      </c>
      <c r="B286" s="17">
        <v>17123.599999999999</v>
      </c>
      <c r="C286" s="10"/>
      <c r="D286" s="19">
        <f t="shared" si="219"/>
        <v>8.21240045686677E-3</v>
      </c>
    </row>
    <row r="287" spans="1:4" x14ac:dyDescent="0.35">
      <c r="A287" s="16">
        <v>44847</v>
      </c>
      <c r="B287" s="17">
        <v>17014.349999999999</v>
      </c>
      <c r="C287" s="10"/>
      <c r="D287" s="19">
        <f t="shared" si="219"/>
        <v>-6.4005233452741625E-3</v>
      </c>
    </row>
    <row r="288" spans="1:4" x14ac:dyDescent="0.35">
      <c r="A288" s="16">
        <v>44848</v>
      </c>
      <c r="B288" s="17">
        <v>17185.7</v>
      </c>
      <c r="C288" s="10"/>
      <c r="D288" s="19">
        <f t="shared" si="219"/>
        <v>1.0020537033444438E-2</v>
      </c>
    </row>
    <row r="289" spans="1:4" x14ac:dyDescent="0.35">
      <c r="A289" s="16">
        <v>44851</v>
      </c>
      <c r="B289" s="17">
        <v>17311.8</v>
      </c>
      <c r="C289" s="10"/>
      <c r="D289" s="19">
        <f t="shared" si="219"/>
        <v>7.3107072473373395E-3</v>
      </c>
    </row>
    <row r="290" spans="1:4" x14ac:dyDescent="0.35">
      <c r="A290" s="16">
        <v>44852</v>
      </c>
      <c r="B290" s="17">
        <v>17486.95</v>
      </c>
      <c r="C290" s="10"/>
      <c r="D290" s="19">
        <f t="shared" si="219"/>
        <v>1.0066538543434379E-2</v>
      </c>
    </row>
    <row r="291" spans="1:4" x14ac:dyDescent="0.35">
      <c r="A291" s="16">
        <v>44853</v>
      </c>
      <c r="B291" s="17">
        <v>17512.25</v>
      </c>
      <c r="C291" s="10"/>
      <c r="D291" s="19">
        <f t="shared" si="219"/>
        <v>1.4457475831908754E-3</v>
      </c>
    </row>
    <row r="292" spans="1:4" x14ac:dyDescent="0.35">
      <c r="A292" s="16">
        <v>44854</v>
      </c>
      <c r="B292" s="17">
        <v>17563.95</v>
      </c>
      <c r="C292" s="10"/>
      <c r="D292" s="19">
        <f t="shared" si="219"/>
        <v>2.9478699197255992E-3</v>
      </c>
    </row>
    <row r="293" spans="1:4" x14ac:dyDescent="0.35">
      <c r="A293" s="16">
        <v>44855</v>
      </c>
      <c r="B293" s="17">
        <v>17576.3</v>
      </c>
      <c r="C293" s="10"/>
      <c r="D293" s="19">
        <f t="shared" si="219"/>
        <v>7.0289770325899842E-4</v>
      </c>
    </row>
    <row r="294" spans="1:4" x14ac:dyDescent="0.35">
      <c r="A294" s="16">
        <v>44858</v>
      </c>
      <c r="B294" s="17">
        <v>17730.75</v>
      </c>
      <c r="C294" s="10"/>
      <c r="D294" s="19">
        <f t="shared" si="219"/>
        <v>8.7490167091534895E-3</v>
      </c>
    </row>
    <row r="295" spans="1:4" x14ac:dyDescent="0.35">
      <c r="A295" s="16">
        <v>44859</v>
      </c>
      <c r="B295" s="17">
        <v>17656.349999999999</v>
      </c>
      <c r="C295" s="10"/>
      <c r="D295" s="19">
        <f t="shared" si="219"/>
        <v>-4.2049283283901789E-3</v>
      </c>
    </row>
    <row r="296" spans="1:4" x14ac:dyDescent="0.35">
      <c r="A296" s="16">
        <v>44861</v>
      </c>
      <c r="B296" s="17">
        <v>17736.95</v>
      </c>
      <c r="C296" s="10"/>
      <c r="D296" s="19">
        <f t="shared" si="219"/>
        <v>4.5545422059832148E-3</v>
      </c>
    </row>
    <row r="297" spans="1:4" x14ac:dyDescent="0.35">
      <c r="A297" s="16">
        <v>44862</v>
      </c>
      <c r="B297" s="17">
        <v>17786.8</v>
      </c>
      <c r="C297" s="10"/>
      <c r="D297" s="19">
        <f t="shared" si="219"/>
        <v>2.8065749095631263E-3</v>
      </c>
    </row>
    <row r="298" spans="1:4" x14ac:dyDescent="0.35">
      <c r="A298" s="16">
        <v>44865</v>
      </c>
      <c r="B298" s="17">
        <v>18012.2</v>
      </c>
      <c r="C298" s="10"/>
      <c r="D298" s="19">
        <f t="shared" si="219"/>
        <v>1.2592696923282446E-2</v>
      </c>
    </row>
    <row r="299" spans="1:4" x14ac:dyDescent="0.35">
      <c r="A299" s="16">
        <v>44866</v>
      </c>
      <c r="B299" s="17">
        <v>18145.400000000001</v>
      </c>
      <c r="C299" s="10"/>
      <c r="D299" s="19">
        <f t="shared" si="219"/>
        <v>7.3677789761327165E-3</v>
      </c>
    </row>
    <row r="300" spans="1:4" x14ac:dyDescent="0.35">
      <c r="A300" s="16">
        <v>44867</v>
      </c>
      <c r="B300" s="17">
        <v>18082.849999999999</v>
      </c>
      <c r="C300" s="10"/>
      <c r="D300" s="19">
        <f t="shared" si="219"/>
        <v>-3.4531097777932285E-3</v>
      </c>
    </row>
    <row r="301" spans="1:4" x14ac:dyDescent="0.35">
      <c r="A301" s="16">
        <v>44868</v>
      </c>
      <c r="B301" s="17">
        <v>18052.7</v>
      </c>
      <c r="C301" s="10"/>
      <c r="D301" s="19">
        <f t="shared" si="219"/>
        <v>-1.6687172048770696E-3</v>
      </c>
    </row>
    <row r="302" spans="1:4" x14ac:dyDescent="0.35">
      <c r="A302" s="16">
        <v>44869</v>
      </c>
      <c r="B302" s="17">
        <v>18117.150000000001</v>
      </c>
      <c r="C302" s="10"/>
      <c r="D302" s="19">
        <f t="shared" si="219"/>
        <v>3.5637453962944995E-3</v>
      </c>
    </row>
    <row r="303" spans="1:4" x14ac:dyDescent="0.35">
      <c r="A303" s="16">
        <v>44872</v>
      </c>
      <c r="B303" s="17">
        <v>18202.8</v>
      </c>
      <c r="C303" s="10"/>
      <c r="D303" s="19">
        <f t="shared" si="219"/>
        <v>4.7164249274147217E-3</v>
      </c>
    </row>
    <row r="304" spans="1:4" x14ac:dyDescent="0.35">
      <c r="A304" s="16">
        <v>44874</v>
      </c>
      <c r="B304" s="17">
        <v>18157</v>
      </c>
      <c r="C304" s="10"/>
      <c r="D304" s="19">
        <f t="shared" si="219"/>
        <v>-2.5192671149599894E-3</v>
      </c>
    </row>
    <row r="305" spans="1:4" x14ac:dyDescent="0.35">
      <c r="A305" s="16">
        <v>44875</v>
      </c>
      <c r="B305" s="17">
        <v>18028.2</v>
      </c>
      <c r="C305" s="10"/>
      <c r="D305" s="19">
        <f t="shared" si="219"/>
        <v>-7.1189626676594429E-3</v>
      </c>
    </row>
    <row r="306" spans="1:4" x14ac:dyDescent="0.35">
      <c r="A306" s="16">
        <v>44876</v>
      </c>
      <c r="B306" s="17">
        <v>18349.7</v>
      </c>
      <c r="C306" s="10"/>
      <c r="D306" s="19">
        <f t="shared" si="219"/>
        <v>1.7676026972224347E-2</v>
      </c>
    </row>
    <row r="307" spans="1:4" x14ac:dyDescent="0.35">
      <c r="A307" s="16">
        <v>44879</v>
      </c>
      <c r="B307" s="17">
        <v>18329.150000000001</v>
      </c>
      <c r="C307" s="10"/>
      <c r="D307" s="19">
        <f t="shared" si="219"/>
        <v>-1.1205368843472386E-3</v>
      </c>
    </row>
    <row r="308" spans="1:4" x14ac:dyDescent="0.35">
      <c r="A308" s="16">
        <v>44880</v>
      </c>
      <c r="B308" s="17">
        <v>18403.400000000001</v>
      </c>
      <c r="C308" s="10"/>
      <c r="D308" s="19">
        <f t="shared" si="219"/>
        <v>4.0427414446846995E-3</v>
      </c>
    </row>
    <row r="309" spans="1:4" x14ac:dyDescent="0.35">
      <c r="A309" s="16">
        <v>44881</v>
      </c>
      <c r="B309" s="17">
        <v>18409.650000000001</v>
      </c>
      <c r="C309" s="10"/>
      <c r="D309" s="19">
        <f t="shared" si="219"/>
        <v>3.3955350399116779E-4</v>
      </c>
    </row>
    <row r="310" spans="1:4" x14ac:dyDescent="0.35">
      <c r="A310" s="16">
        <v>44882</v>
      </c>
      <c r="B310" s="17">
        <v>18343.900000000001</v>
      </c>
      <c r="C310" s="10"/>
      <c r="D310" s="19">
        <f t="shared" si="219"/>
        <v>-3.5778894904250048E-3</v>
      </c>
    </row>
    <row r="311" spans="1:4" x14ac:dyDescent="0.35">
      <c r="A311" s="16">
        <v>44883</v>
      </c>
      <c r="B311" s="17">
        <v>18307.650000000001</v>
      </c>
      <c r="C311" s="10"/>
      <c r="D311" s="19">
        <f t="shared" si="219"/>
        <v>-1.9780888841003656E-3</v>
      </c>
    </row>
    <row r="312" spans="1:4" x14ac:dyDescent="0.35">
      <c r="A312" s="16">
        <v>44886</v>
      </c>
      <c r="B312" s="17">
        <v>18159.95</v>
      </c>
      <c r="C312" s="10"/>
      <c r="D312" s="19">
        <f t="shared" si="219"/>
        <v>-8.100385417505962E-3</v>
      </c>
    </row>
    <row r="313" spans="1:4" x14ac:dyDescent="0.35">
      <c r="A313" s="16">
        <v>44887</v>
      </c>
      <c r="B313" s="17">
        <v>18244.2</v>
      </c>
      <c r="C313" s="10"/>
      <c r="D313" s="19">
        <f t="shared" si="219"/>
        <v>4.6286014321959227E-3</v>
      </c>
    </row>
    <row r="314" spans="1:4" x14ac:dyDescent="0.35">
      <c r="A314" s="16">
        <v>44888</v>
      </c>
      <c r="B314" s="17">
        <v>18267.25</v>
      </c>
      <c r="C314" s="10"/>
      <c r="D314" s="19">
        <f t="shared" si="219"/>
        <v>1.2626177849523763E-3</v>
      </c>
    </row>
    <row r="315" spans="1:4" x14ac:dyDescent="0.35">
      <c r="A315" s="16">
        <v>44889</v>
      </c>
      <c r="B315" s="17">
        <v>18484.099999999999</v>
      </c>
      <c r="C315" s="10"/>
      <c r="D315" s="19">
        <f t="shared" si="219"/>
        <v>1.1801063995242344E-2</v>
      </c>
    </row>
    <row r="316" spans="1:4" x14ac:dyDescent="0.35">
      <c r="A316" s="16">
        <v>44890</v>
      </c>
      <c r="B316" s="17">
        <v>18512.75</v>
      </c>
      <c r="C316" s="10"/>
      <c r="D316" s="19">
        <f t="shared" si="219"/>
        <v>1.548780813877488E-3</v>
      </c>
    </row>
    <row r="317" spans="1:4" x14ac:dyDescent="0.35">
      <c r="A317" s="16">
        <v>44893</v>
      </c>
      <c r="B317" s="17">
        <v>18562.75</v>
      </c>
      <c r="C317" s="10"/>
      <c r="D317" s="19">
        <f t="shared" si="219"/>
        <v>2.6972005940332764E-3</v>
      </c>
    </row>
    <row r="318" spans="1:4" x14ac:dyDescent="0.35">
      <c r="A318" s="16">
        <v>44894</v>
      </c>
      <c r="B318" s="17">
        <v>18618.05</v>
      </c>
      <c r="C318" s="10"/>
      <c r="D318" s="19">
        <f t="shared" si="219"/>
        <v>2.9746557780997683E-3</v>
      </c>
    </row>
    <row r="319" spans="1:4" x14ac:dyDescent="0.35">
      <c r="A319" s="16">
        <v>44895</v>
      </c>
      <c r="B319" s="17">
        <v>18758.349999999999</v>
      </c>
      <c r="C319" s="10"/>
      <c r="D319" s="19">
        <f t="shared" si="219"/>
        <v>7.5074463545009001E-3</v>
      </c>
    </row>
    <row r="320" spans="1:4" x14ac:dyDescent="0.35">
      <c r="A320" s="16">
        <v>44896</v>
      </c>
      <c r="B320" s="17">
        <v>18812.5</v>
      </c>
      <c r="C320" s="10"/>
      <c r="D320" s="19">
        <f t="shared" si="219"/>
        <v>2.8825558908002974E-3</v>
      </c>
    </row>
    <row r="321" spans="1:4" x14ac:dyDescent="0.35">
      <c r="A321" s="16">
        <v>44897</v>
      </c>
      <c r="B321" s="17">
        <v>18696.099999999999</v>
      </c>
      <c r="C321" s="10"/>
      <c r="D321" s="19">
        <f t="shared" si="219"/>
        <v>-6.2065965491442813E-3</v>
      </c>
    </row>
    <row r="322" spans="1:4" x14ac:dyDescent="0.35">
      <c r="A322" s="16">
        <v>44900</v>
      </c>
      <c r="B322" s="17">
        <v>18701.05</v>
      </c>
      <c r="C322" s="10"/>
      <c r="D322" s="19">
        <f t="shared" si="219"/>
        <v>2.6472605687367874E-4</v>
      </c>
    </row>
    <row r="323" spans="1:4" x14ac:dyDescent="0.35">
      <c r="A323" s="16">
        <v>44901</v>
      </c>
      <c r="B323" s="17">
        <v>18642.75</v>
      </c>
      <c r="C323" s="10"/>
      <c r="D323" s="19">
        <f t="shared" ref="D323:D386" si="220">LN(B323/B322)</f>
        <v>-3.1223414523407593E-3</v>
      </c>
    </row>
    <row r="324" spans="1:4" x14ac:dyDescent="0.35">
      <c r="A324" s="16">
        <v>44902</v>
      </c>
      <c r="B324" s="17">
        <v>18560.5</v>
      </c>
      <c r="C324" s="10"/>
      <c r="D324" s="19">
        <f t="shared" si="220"/>
        <v>-4.4216639141222676E-3</v>
      </c>
    </row>
    <row r="325" spans="1:4" x14ac:dyDescent="0.35">
      <c r="A325" s="16">
        <v>44903</v>
      </c>
      <c r="B325" s="17">
        <v>18609.349999999999</v>
      </c>
      <c r="C325" s="10"/>
      <c r="D325" s="19">
        <f t="shared" si="220"/>
        <v>2.6284759354648821E-3</v>
      </c>
    </row>
    <row r="326" spans="1:4" x14ac:dyDescent="0.35">
      <c r="A326" s="16">
        <v>44904</v>
      </c>
      <c r="B326" s="17">
        <v>18496.599999999999</v>
      </c>
      <c r="C326" s="10"/>
      <c r="D326" s="19">
        <f t="shared" si="220"/>
        <v>-6.0772111756395393E-3</v>
      </c>
    </row>
    <row r="327" spans="1:4" x14ac:dyDescent="0.35">
      <c r="A327" s="16">
        <v>44907</v>
      </c>
      <c r="B327" s="17">
        <v>18497.150000000001</v>
      </c>
      <c r="C327" s="10"/>
      <c r="D327" s="19">
        <f t="shared" si="220"/>
        <v>2.9734752494251067E-5</v>
      </c>
    </row>
    <row r="328" spans="1:4" x14ac:dyDescent="0.35">
      <c r="A328" s="16">
        <v>44908</v>
      </c>
      <c r="B328" s="17">
        <v>18608</v>
      </c>
      <c r="C328" s="10"/>
      <c r="D328" s="19">
        <f t="shared" si="220"/>
        <v>5.9749296136281512E-3</v>
      </c>
    </row>
    <row r="329" spans="1:4" x14ac:dyDescent="0.35">
      <c r="A329" s="16">
        <v>44909</v>
      </c>
      <c r="B329" s="17">
        <v>18660.3</v>
      </c>
      <c r="C329" s="10"/>
      <c r="D329" s="19">
        <f t="shared" si="220"/>
        <v>2.8066766840707338E-3</v>
      </c>
    </row>
    <row r="330" spans="1:4" x14ac:dyDescent="0.35">
      <c r="A330" s="16">
        <v>44910</v>
      </c>
      <c r="B330" s="17">
        <v>18414.900000000001</v>
      </c>
      <c r="C330" s="10"/>
      <c r="D330" s="19">
        <f t="shared" si="220"/>
        <v>-1.3238152933783446E-2</v>
      </c>
    </row>
    <row r="331" spans="1:4" x14ac:dyDescent="0.35">
      <c r="A331" s="16">
        <v>44911</v>
      </c>
      <c r="B331" s="17">
        <v>18269</v>
      </c>
      <c r="C331" s="10"/>
      <c r="D331" s="19">
        <f t="shared" si="220"/>
        <v>-7.9544851721632479E-3</v>
      </c>
    </row>
    <row r="332" spans="1:4" x14ac:dyDescent="0.35">
      <c r="A332" s="16">
        <v>44914</v>
      </c>
      <c r="B332" s="17">
        <v>18420.45</v>
      </c>
      <c r="C332" s="10"/>
      <c r="D332" s="19">
        <f t="shared" si="220"/>
        <v>8.2558261417479597E-3</v>
      </c>
    </row>
    <row r="333" spans="1:4" x14ac:dyDescent="0.35">
      <c r="A333" s="16">
        <v>44915</v>
      </c>
      <c r="B333" s="17">
        <v>18385.3</v>
      </c>
      <c r="C333" s="10"/>
      <c r="D333" s="19">
        <f t="shared" si="220"/>
        <v>-1.9100282258184755E-3</v>
      </c>
    </row>
    <row r="334" spans="1:4" x14ac:dyDescent="0.35">
      <c r="A334" s="16">
        <v>44916</v>
      </c>
      <c r="B334" s="17">
        <v>18199.099999999999</v>
      </c>
      <c r="C334" s="10"/>
      <c r="D334" s="19">
        <f t="shared" si="220"/>
        <v>-1.0179289959781981E-2</v>
      </c>
    </row>
    <row r="335" spans="1:4" x14ac:dyDescent="0.35">
      <c r="A335" s="16">
        <v>44917</v>
      </c>
      <c r="B335" s="17">
        <v>18127.349999999999</v>
      </c>
      <c r="C335" s="10"/>
      <c r="D335" s="19">
        <f t="shared" si="220"/>
        <v>-3.950294801933504E-3</v>
      </c>
    </row>
    <row r="336" spans="1:4" x14ac:dyDescent="0.35">
      <c r="A336" s="16">
        <v>44918</v>
      </c>
      <c r="B336" s="17">
        <v>17806.8</v>
      </c>
      <c r="C336" s="10"/>
      <c r="D336" s="19">
        <f t="shared" si="220"/>
        <v>-1.7841440690702759E-2</v>
      </c>
    </row>
    <row r="337" spans="1:4" x14ac:dyDescent="0.35">
      <c r="A337" s="16">
        <v>44921</v>
      </c>
      <c r="B337" s="17">
        <v>18014.599999999999</v>
      </c>
      <c r="C337" s="10"/>
      <c r="D337" s="19">
        <f t="shared" si="220"/>
        <v>1.1602133416483444E-2</v>
      </c>
    </row>
    <row r="338" spans="1:4" x14ac:dyDescent="0.35">
      <c r="A338" s="16">
        <v>44922</v>
      </c>
      <c r="B338" s="17">
        <v>18132.3</v>
      </c>
      <c r="C338" s="10"/>
      <c r="D338" s="19">
        <f t="shared" si="220"/>
        <v>6.5123380415187272E-3</v>
      </c>
    </row>
    <row r="339" spans="1:4" x14ac:dyDescent="0.35">
      <c r="A339" s="16">
        <v>44923</v>
      </c>
      <c r="B339" s="17">
        <v>18122.5</v>
      </c>
      <c r="C339" s="10"/>
      <c r="D339" s="19">
        <f t="shared" si="220"/>
        <v>-5.4061808305026044E-4</v>
      </c>
    </row>
    <row r="340" spans="1:4" x14ac:dyDescent="0.35">
      <c r="A340" s="16">
        <v>44924</v>
      </c>
      <c r="B340" s="17">
        <v>18191</v>
      </c>
      <c r="C340" s="10"/>
      <c r="D340" s="19">
        <f t="shared" si="220"/>
        <v>3.7727060871833766E-3</v>
      </c>
    </row>
    <row r="341" spans="1:4" x14ac:dyDescent="0.35">
      <c r="A341" s="16">
        <v>44925</v>
      </c>
      <c r="B341" s="17">
        <v>18105.3</v>
      </c>
      <c r="C341" s="10"/>
      <c r="D341" s="19">
        <f t="shared" si="220"/>
        <v>-4.7222531914706822E-3</v>
      </c>
    </row>
    <row r="342" spans="1:4" x14ac:dyDescent="0.35">
      <c r="A342" s="16">
        <v>44928</v>
      </c>
      <c r="B342" s="17">
        <v>18197.45</v>
      </c>
      <c r="C342" s="10"/>
      <c r="D342" s="19">
        <f t="shared" si="220"/>
        <v>5.0767612877239332E-3</v>
      </c>
    </row>
    <row r="343" spans="1:4" x14ac:dyDescent="0.35">
      <c r="A343" s="16">
        <v>44929</v>
      </c>
      <c r="B343" s="17">
        <v>18232.55</v>
      </c>
      <c r="C343" s="10"/>
      <c r="D343" s="19">
        <f t="shared" si="220"/>
        <v>1.9269838518420508E-3</v>
      </c>
    </row>
    <row r="344" spans="1:4" x14ac:dyDescent="0.35">
      <c r="A344" s="16">
        <v>44930</v>
      </c>
      <c r="B344" s="17">
        <v>18042.95</v>
      </c>
      <c r="C344" s="10"/>
      <c r="D344" s="19">
        <f t="shared" si="220"/>
        <v>-1.0453431463642316E-2</v>
      </c>
    </row>
    <row r="345" spans="1:4" x14ac:dyDescent="0.35">
      <c r="A345" s="16">
        <v>44931</v>
      </c>
      <c r="B345" s="17">
        <v>17992.150000000001</v>
      </c>
      <c r="C345" s="10"/>
      <c r="D345" s="19">
        <f t="shared" si="220"/>
        <v>-2.8194751035864399E-3</v>
      </c>
    </row>
    <row r="346" spans="1:4" x14ac:dyDescent="0.35">
      <c r="A346" s="16">
        <v>44932</v>
      </c>
      <c r="B346" s="17">
        <v>17859.45</v>
      </c>
      <c r="C346" s="10"/>
      <c r="D346" s="19">
        <f t="shared" si="220"/>
        <v>-7.4027717595589147E-3</v>
      </c>
    </row>
    <row r="347" spans="1:4" x14ac:dyDescent="0.35">
      <c r="A347" s="16">
        <v>44935</v>
      </c>
      <c r="B347" s="17">
        <v>18101.2</v>
      </c>
      <c r="C347" s="10"/>
      <c r="D347" s="19">
        <f t="shared" si="220"/>
        <v>1.3445454515296811E-2</v>
      </c>
    </row>
    <row r="348" spans="1:4" x14ac:dyDescent="0.35">
      <c r="A348" s="16">
        <v>44936</v>
      </c>
      <c r="B348" s="17">
        <v>17914.150000000001</v>
      </c>
      <c r="C348" s="10"/>
      <c r="D348" s="19">
        <f t="shared" si="220"/>
        <v>-1.0387331059448432E-2</v>
      </c>
    </row>
    <row r="349" spans="1:4" x14ac:dyDescent="0.35">
      <c r="A349" s="16">
        <v>44937</v>
      </c>
      <c r="B349" s="17">
        <v>17895.7</v>
      </c>
      <c r="C349" s="10"/>
      <c r="D349" s="19">
        <f t="shared" si="220"/>
        <v>-1.0304428324909225E-3</v>
      </c>
    </row>
    <row r="350" spans="1:4" x14ac:dyDescent="0.35">
      <c r="A350" s="16">
        <v>44938</v>
      </c>
      <c r="B350" s="17">
        <v>17858.2</v>
      </c>
      <c r="C350" s="10"/>
      <c r="D350" s="19">
        <f t="shared" si="220"/>
        <v>-2.097674030007273E-3</v>
      </c>
    </row>
    <row r="351" spans="1:4" x14ac:dyDescent="0.35">
      <c r="A351" s="16">
        <v>44939</v>
      </c>
      <c r="B351" s="17">
        <v>17956.599999999999</v>
      </c>
      <c r="C351" s="10"/>
      <c r="D351" s="19">
        <f t="shared" si="220"/>
        <v>5.4949488811592336E-3</v>
      </c>
    </row>
    <row r="352" spans="1:4" x14ac:dyDescent="0.35">
      <c r="A352" s="16">
        <v>44942</v>
      </c>
      <c r="B352" s="17">
        <v>17894.849999999999</v>
      </c>
      <c r="C352" s="10"/>
      <c r="D352" s="19">
        <f t="shared" si="220"/>
        <v>-3.44477342271146E-3</v>
      </c>
    </row>
    <row r="353" spans="1:4" x14ac:dyDescent="0.35">
      <c r="A353" s="16">
        <v>44943</v>
      </c>
      <c r="B353" s="17">
        <v>18053.3</v>
      </c>
      <c r="C353" s="10"/>
      <c r="D353" s="19">
        <f t="shared" si="220"/>
        <v>8.8155315999272829E-3</v>
      </c>
    </row>
    <row r="354" spans="1:4" x14ac:dyDescent="0.35">
      <c r="A354" s="16">
        <v>44944</v>
      </c>
      <c r="B354" s="17">
        <v>18165.349999999999</v>
      </c>
      <c r="C354" s="10"/>
      <c r="D354" s="19">
        <f t="shared" si="220"/>
        <v>6.1874397571668738E-3</v>
      </c>
    </row>
    <row r="355" spans="1:4" x14ac:dyDescent="0.35">
      <c r="A355" s="16">
        <v>44945</v>
      </c>
      <c r="B355" s="17">
        <v>18107.849999999999</v>
      </c>
      <c r="C355" s="10"/>
      <c r="D355" s="19">
        <f t="shared" si="220"/>
        <v>-3.1703874024205901E-3</v>
      </c>
    </row>
    <row r="356" spans="1:4" x14ac:dyDescent="0.35">
      <c r="A356" s="16">
        <v>44946</v>
      </c>
      <c r="B356" s="17">
        <v>18027.650000000001</v>
      </c>
      <c r="C356" s="10"/>
      <c r="D356" s="19">
        <f t="shared" si="220"/>
        <v>-4.4388555124240574E-3</v>
      </c>
    </row>
    <row r="357" spans="1:4" x14ac:dyDescent="0.35">
      <c r="A357" s="16">
        <v>44949</v>
      </c>
      <c r="B357" s="17">
        <v>18118.55</v>
      </c>
      <c r="C357" s="10"/>
      <c r="D357" s="19">
        <f t="shared" si="220"/>
        <v>5.0295849424065783E-3</v>
      </c>
    </row>
    <row r="358" spans="1:4" x14ac:dyDescent="0.35">
      <c r="A358" s="16">
        <v>44950</v>
      </c>
      <c r="B358" s="17">
        <v>18118.3</v>
      </c>
      <c r="C358" s="10"/>
      <c r="D358" s="19">
        <f t="shared" si="220"/>
        <v>-1.3798108831454769E-5</v>
      </c>
    </row>
    <row r="359" spans="1:4" x14ac:dyDescent="0.35">
      <c r="A359" s="16">
        <v>44951</v>
      </c>
      <c r="B359" s="17">
        <v>17891.95</v>
      </c>
      <c r="C359" s="10"/>
      <c r="D359" s="19">
        <f t="shared" si="220"/>
        <v>-1.2571586207360697E-2</v>
      </c>
    </row>
    <row r="360" spans="1:4" x14ac:dyDescent="0.35">
      <c r="A360" s="16">
        <v>44953</v>
      </c>
      <c r="B360" s="17">
        <v>17604.349999999999</v>
      </c>
      <c r="C360" s="10"/>
      <c r="D360" s="19">
        <f t="shared" si="220"/>
        <v>-1.6204860425410094E-2</v>
      </c>
    </row>
    <row r="361" spans="1:4" x14ac:dyDescent="0.35">
      <c r="A361" s="16">
        <v>44956</v>
      </c>
      <c r="B361" s="17">
        <v>17648.95</v>
      </c>
      <c r="C361" s="10"/>
      <c r="D361" s="19">
        <f t="shared" si="220"/>
        <v>2.5302609284759267E-3</v>
      </c>
    </row>
    <row r="362" spans="1:4" x14ac:dyDescent="0.35">
      <c r="A362" s="16">
        <v>44957</v>
      </c>
      <c r="B362" s="17">
        <v>17662.150000000001</v>
      </c>
      <c r="C362" s="10"/>
      <c r="D362" s="19">
        <f t="shared" si="220"/>
        <v>7.4764029525351266E-4</v>
      </c>
    </row>
    <row r="363" spans="1:4" x14ac:dyDescent="0.35">
      <c r="A363" s="16">
        <v>44958</v>
      </c>
      <c r="B363" s="17">
        <v>17616.3</v>
      </c>
      <c r="C363" s="10"/>
      <c r="D363" s="19">
        <f t="shared" si="220"/>
        <v>-2.5993220119003902E-3</v>
      </c>
    </row>
    <row r="364" spans="1:4" x14ac:dyDescent="0.35">
      <c r="A364" s="16">
        <v>44959</v>
      </c>
      <c r="B364" s="17">
        <v>17610.400000000001</v>
      </c>
      <c r="C364" s="10"/>
      <c r="D364" s="19">
        <f t="shared" si="220"/>
        <v>-3.3497319108321866E-4</v>
      </c>
    </row>
    <row r="365" spans="1:4" x14ac:dyDescent="0.35">
      <c r="A365" s="16">
        <v>44960</v>
      </c>
      <c r="B365" s="17">
        <v>17854.05</v>
      </c>
      <c r="C365" s="10"/>
      <c r="D365" s="19">
        <f t="shared" si="220"/>
        <v>1.3740736629151006E-2</v>
      </c>
    </row>
    <row r="366" spans="1:4" x14ac:dyDescent="0.35">
      <c r="A366" s="16">
        <v>44963</v>
      </c>
      <c r="B366" s="17">
        <v>17764.599999999999</v>
      </c>
      <c r="C366" s="10"/>
      <c r="D366" s="19">
        <f t="shared" si="220"/>
        <v>-5.0226602101452831E-3</v>
      </c>
    </row>
    <row r="367" spans="1:4" x14ac:dyDescent="0.35">
      <c r="A367" s="16">
        <v>44964</v>
      </c>
      <c r="B367" s="17">
        <v>17721.5</v>
      </c>
      <c r="C367" s="10"/>
      <c r="D367" s="19">
        <f t="shared" si="220"/>
        <v>-2.4291213288073102E-3</v>
      </c>
    </row>
    <row r="368" spans="1:4" x14ac:dyDescent="0.35">
      <c r="A368" s="16">
        <v>44965</v>
      </c>
      <c r="B368" s="17">
        <v>17871.7</v>
      </c>
      <c r="C368" s="10"/>
      <c r="D368" s="19">
        <f t="shared" si="220"/>
        <v>8.4398644447551876E-3</v>
      </c>
    </row>
    <row r="369" spans="1:4" x14ac:dyDescent="0.35">
      <c r="A369" s="16">
        <v>44966</v>
      </c>
      <c r="B369" s="17">
        <v>17893.45</v>
      </c>
      <c r="C369" s="10"/>
      <c r="D369" s="19">
        <f t="shared" si="220"/>
        <v>1.2162679413476782E-3</v>
      </c>
    </row>
    <row r="370" spans="1:4" x14ac:dyDescent="0.35">
      <c r="A370" s="16">
        <v>44967</v>
      </c>
      <c r="B370" s="17">
        <v>17856.5</v>
      </c>
      <c r="C370" s="10"/>
      <c r="D370" s="19">
        <f t="shared" si="220"/>
        <v>-2.0671364943135387E-3</v>
      </c>
    </row>
    <row r="371" spans="1:4" x14ac:dyDescent="0.35">
      <c r="A371" s="16">
        <v>44970</v>
      </c>
      <c r="B371" s="17">
        <v>17770.900000000001</v>
      </c>
      <c r="C371" s="10"/>
      <c r="D371" s="19">
        <f t="shared" si="220"/>
        <v>-4.8052995568044921E-3</v>
      </c>
    </row>
    <row r="372" spans="1:4" x14ac:dyDescent="0.35">
      <c r="A372" s="16">
        <v>44971</v>
      </c>
      <c r="B372" s="17">
        <v>17929.849999999999</v>
      </c>
      <c r="C372" s="10"/>
      <c r="D372" s="19">
        <f t="shared" si="220"/>
        <v>8.9046336726180588E-3</v>
      </c>
    </row>
    <row r="373" spans="1:4" x14ac:dyDescent="0.35">
      <c r="A373" s="16">
        <v>44972</v>
      </c>
      <c r="B373" s="17">
        <v>18015.849999999999</v>
      </c>
      <c r="C373" s="10"/>
      <c r="D373" s="19">
        <f t="shared" si="220"/>
        <v>4.7850042753287744E-3</v>
      </c>
    </row>
    <row r="374" spans="1:4" x14ac:dyDescent="0.35">
      <c r="A374" s="16">
        <v>44973</v>
      </c>
      <c r="B374" s="17">
        <v>18035.849999999999</v>
      </c>
      <c r="C374" s="10"/>
      <c r="D374" s="19">
        <f t="shared" si="220"/>
        <v>1.1095178342057001E-3</v>
      </c>
    </row>
    <row r="375" spans="1:4" x14ac:dyDescent="0.35">
      <c r="A375" s="16">
        <v>44974</v>
      </c>
      <c r="B375" s="17">
        <v>17944.2</v>
      </c>
      <c r="C375" s="10"/>
      <c r="D375" s="19">
        <f t="shared" si="220"/>
        <v>-5.0945008816343056E-3</v>
      </c>
    </row>
    <row r="376" spans="1:4" x14ac:dyDescent="0.35">
      <c r="A376" s="16">
        <v>44977</v>
      </c>
      <c r="B376" s="17">
        <v>17844.599999999999</v>
      </c>
      <c r="C376" s="10"/>
      <c r="D376" s="19">
        <f t="shared" si="220"/>
        <v>-5.5660014941524474E-3</v>
      </c>
    </row>
    <row r="377" spans="1:4" x14ac:dyDescent="0.35">
      <c r="A377" s="16">
        <v>44978</v>
      </c>
      <c r="B377" s="17">
        <v>17826.7</v>
      </c>
      <c r="C377" s="10"/>
      <c r="D377" s="19">
        <f t="shared" si="220"/>
        <v>-1.0036080267580851E-3</v>
      </c>
    </row>
    <row r="378" spans="1:4" x14ac:dyDescent="0.35">
      <c r="A378" s="16">
        <v>44979</v>
      </c>
      <c r="B378" s="17">
        <v>17554.3</v>
      </c>
      <c r="C378" s="10"/>
      <c r="D378" s="19">
        <f t="shared" si="220"/>
        <v>-1.539839927597453E-2</v>
      </c>
    </row>
    <row r="379" spans="1:4" x14ac:dyDescent="0.35">
      <c r="A379" s="16">
        <v>44980</v>
      </c>
      <c r="B379" s="17">
        <v>17511.25</v>
      </c>
      <c r="C379" s="10"/>
      <c r="D379" s="19">
        <f t="shared" si="220"/>
        <v>-2.4554026176142147E-3</v>
      </c>
    </row>
    <row r="380" spans="1:4" x14ac:dyDescent="0.35">
      <c r="A380" s="16">
        <v>44981</v>
      </c>
      <c r="B380" s="17">
        <v>17465.8</v>
      </c>
      <c r="C380" s="10"/>
      <c r="D380" s="19">
        <f t="shared" si="220"/>
        <v>-2.5988484209401182E-3</v>
      </c>
    </row>
    <row r="381" spans="1:4" x14ac:dyDescent="0.35">
      <c r="A381" s="16">
        <v>44984</v>
      </c>
      <c r="B381" s="17">
        <v>17392.7</v>
      </c>
      <c r="C381" s="10"/>
      <c r="D381" s="19">
        <f t="shared" si="220"/>
        <v>-4.1941051482731325E-3</v>
      </c>
    </row>
    <row r="382" spans="1:4" x14ac:dyDescent="0.35">
      <c r="A382" s="16">
        <v>44985</v>
      </c>
      <c r="B382" s="17">
        <v>17303.95</v>
      </c>
      <c r="C382" s="10"/>
      <c r="D382" s="19">
        <f t="shared" si="220"/>
        <v>-5.1157788177069495E-3</v>
      </c>
    </row>
    <row r="383" spans="1:4" x14ac:dyDescent="0.35">
      <c r="A383" s="16">
        <v>44986</v>
      </c>
      <c r="B383" s="17">
        <v>17450.900000000001</v>
      </c>
      <c r="C383" s="10"/>
      <c r="D383" s="19">
        <f t="shared" si="220"/>
        <v>8.4564241084092717E-3</v>
      </c>
    </row>
    <row r="384" spans="1:4" x14ac:dyDescent="0.35">
      <c r="A384" s="16">
        <v>44987</v>
      </c>
      <c r="B384" s="17">
        <v>17321.900000000001</v>
      </c>
      <c r="C384" s="10"/>
      <c r="D384" s="19">
        <f t="shared" si="220"/>
        <v>-7.4196263629130879E-3</v>
      </c>
    </row>
    <row r="385" spans="1:4" x14ac:dyDescent="0.35">
      <c r="A385" s="16">
        <v>44988</v>
      </c>
      <c r="B385" s="17">
        <v>17594.349999999999</v>
      </c>
      <c r="C385" s="10"/>
      <c r="D385" s="19">
        <f t="shared" si="220"/>
        <v>1.5606230891244488E-2</v>
      </c>
    </row>
    <row r="386" spans="1:4" x14ac:dyDescent="0.35">
      <c r="A386" s="16">
        <v>44991</v>
      </c>
      <c r="B386" s="17">
        <v>17711.45</v>
      </c>
      <c r="C386" s="10"/>
      <c r="D386" s="19">
        <f t="shared" si="220"/>
        <v>6.6334953122811511E-3</v>
      </c>
    </row>
    <row r="387" spans="1:4" x14ac:dyDescent="0.35">
      <c r="A387" s="16">
        <v>44993</v>
      </c>
      <c r="B387" s="17">
        <v>17754.400000000001</v>
      </c>
      <c r="C387" s="10"/>
      <c r="D387" s="19">
        <f t="shared" ref="D387:D450" si="221">LN(B387/B386)</f>
        <v>2.4220494360940436E-3</v>
      </c>
    </row>
    <row r="388" spans="1:4" x14ac:dyDescent="0.35">
      <c r="A388" s="16">
        <v>44994</v>
      </c>
      <c r="B388" s="17">
        <v>17589.599999999999</v>
      </c>
      <c r="C388" s="10"/>
      <c r="D388" s="19">
        <f t="shared" si="221"/>
        <v>-9.3255542287693904E-3</v>
      </c>
    </row>
    <row r="389" spans="1:4" x14ac:dyDescent="0.35">
      <c r="A389" s="16">
        <v>44995</v>
      </c>
      <c r="B389" s="17">
        <v>17412.900000000001</v>
      </c>
      <c r="C389" s="10"/>
      <c r="D389" s="19">
        <f t="shared" si="221"/>
        <v>-1.0096507452669731E-2</v>
      </c>
    </row>
    <row r="390" spans="1:4" x14ac:dyDescent="0.35">
      <c r="A390" s="16">
        <v>44998</v>
      </c>
      <c r="B390" s="17">
        <v>17154.3</v>
      </c>
      <c r="C390" s="10"/>
      <c r="D390" s="19">
        <f t="shared" si="221"/>
        <v>-1.4962439797248966E-2</v>
      </c>
    </row>
    <row r="391" spans="1:4" x14ac:dyDescent="0.35">
      <c r="A391" s="16">
        <v>44999</v>
      </c>
      <c r="B391" s="17">
        <v>17043.3</v>
      </c>
      <c r="C391" s="10"/>
      <c r="D391" s="19">
        <f t="shared" si="221"/>
        <v>-6.4917064247525776E-3</v>
      </c>
    </row>
    <row r="392" spans="1:4" x14ac:dyDescent="0.35">
      <c r="A392" s="16">
        <v>45000</v>
      </c>
      <c r="B392" s="17">
        <v>16972.150000000001</v>
      </c>
      <c r="C392" s="10"/>
      <c r="D392" s="19">
        <f t="shared" si="221"/>
        <v>-4.1833992356591016E-3</v>
      </c>
    </row>
    <row r="393" spans="1:4" x14ac:dyDescent="0.35">
      <c r="A393" s="16">
        <v>45001</v>
      </c>
      <c r="B393" s="17">
        <v>16985.599999999999</v>
      </c>
      <c r="C393" s="10"/>
      <c r="D393" s="19">
        <f t="shared" si="221"/>
        <v>7.9216088835932304E-4</v>
      </c>
    </row>
    <row r="394" spans="1:4" x14ac:dyDescent="0.35">
      <c r="A394" s="16">
        <v>45002</v>
      </c>
      <c r="B394" s="17">
        <v>17100.05</v>
      </c>
      <c r="C394" s="10"/>
      <c r="D394" s="19">
        <f t="shared" si="221"/>
        <v>6.715461205305623E-3</v>
      </c>
    </row>
    <row r="395" spans="1:4" x14ac:dyDescent="0.35">
      <c r="A395" s="16">
        <v>45005</v>
      </c>
      <c r="B395" s="17">
        <v>16988.400000000001</v>
      </c>
      <c r="C395" s="10"/>
      <c r="D395" s="19">
        <f t="shared" si="221"/>
        <v>-6.5506292746326279E-3</v>
      </c>
    </row>
    <row r="396" spans="1:4" x14ac:dyDescent="0.35">
      <c r="A396" s="16">
        <v>45006</v>
      </c>
      <c r="B396" s="17">
        <v>17107.5</v>
      </c>
      <c r="C396" s="10"/>
      <c r="D396" s="19">
        <f t="shared" si="221"/>
        <v>6.9862056382009536E-3</v>
      </c>
    </row>
    <row r="397" spans="1:4" x14ac:dyDescent="0.35">
      <c r="A397" s="16">
        <v>45007</v>
      </c>
      <c r="B397" s="17">
        <v>17151.900000000001</v>
      </c>
      <c r="C397" s="10"/>
      <c r="D397" s="19">
        <f t="shared" si="221"/>
        <v>2.5919908029994904E-3</v>
      </c>
    </row>
    <row r="398" spans="1:4" x14ac:dyDescent="0.35">
      <c r="A398" s="16">
        <v>45008</v>
      </c>
      <c r="B398" s="17">
        <v>17076.900000000001</v>
      </c>
      <c r="C398" s="10"/>
      <c r="D398" s="19">
        <f t="shared" si="221"/>
        <v>-4.3822815890368141E-3</v>
      </c>
    </row>
    <row r="399" spans="1:4" x14ac:dyDescent="0.35">
      <c r="A399" s="16">
        <v>45009</v>
      </c>
      <c r="B399" s="17">
        <v>16945.05</v>
      </c>
      <c r="C399" s="10"/>
      <c r="D399" s="19">
        <f t="shared" si="221"/>
        <v>-7.7509172808900607E-3</v>
      </c>
    </row>
    <row r="400" spans="1:4" x14ac:dyDescent="0.35">
      <c r="A400" s="16">
        <v>45012</v>
      </c>
      <c r="B400" s="17">
        <v>16985.7</v>
      </c>
      <c r="C400" s="10"/>
      <c r="D400" s="19">
        <f t="shared" si="221"/>
        <v>2.3960578205877384E-3</v>
      </c>
    </row>
    <row r="401" spans="1:4" x14ac:dyDescent="0.35">
      <c r="A401" s="16">
        <v>45013</v>
      </c>
      <c r="B401" s="17">
        <v>16951.7</v>
      </c>
      <c r="C401" s="10"/>
      <c r="D401" s="19">
        <f t="shared" si="221"/>
        <v>-2.0036898156717883E-3</v>
      </c>
    </row>
    <row r="402" spans="1:4" x14ac:dyDescent="0.35">
      <c r="A402" s="16">
        <v>45014</v>
      </c>
      <c r="B402" s="17">
        <v>17080.7</v>
      </c>
      <c r="C402" s="10"/>
      <c r="D402" s="19">
        <f t="shared" si="221"/>
        <v>7.5810473446718757E-3</v>
      </c>
    </row>
    <row r="403" spans="1:4" x14ac:dyDescent="0.35">
      <c r="A403" s="16">
        <v>45016</v>
      </c>
      <c r="B403" s="17">
        <v>17359.75</v>
      </c>
      <c r="C403" s="10"/>
      <c r="D403" s="19">
        <f t="shared" si="221"/>
        <v>1.6205137079674727E-2</v>
      </c>
    </row>
    <row r="404" spans="1:4" x14ac:dyDescent="0.35">
      <c r="A404" s="16">
        <v>45019</v>
      </c>
      <c r="B404" s="17">
        <v>17398.05</v>
      </c>
      <c r="C404" s="10"/>
      <c r="D404" s="19">
        <f t="shared" si="221"/>
        <v>2.2038227679195624E-3</v>
      </c>
    </row>
    <row r="405" spans="1:4" x14ac:dyDescent="0.35">
      <c r="A405" s="16">
        <v>45021</v>
      </c>
      <c r="B405" s="17">
        <v>17557.05</v>
      </c>
      <c r="C405" s="10"/>
      <c r="D405" s="19">
        <f t="shared" si="221"/>
        <v>9.0974476751935936E-3</v>
      </c>
    </row>
    <row r="406" spans="1:4" x14ac:dyDescent="0.35">
      <c r="A406" s="16">
        <v>45022</v>
      </c>
      <c r="B406" s="17">
        <v>17599.150000000001</v>
      </c>
      <c r="C406" s="10"/>
      <c r="D406" s="19">
        <f t="shared" si="221"/>
        <v>2.3950267733336621E-3</v>
      </c>
    </row>
    <row r="407" spans="1:4" x14ac:dyDescent="0.35">
      <c r="A407" s="16">
        <v>45026</v>
      </c>
      <c r="B407" s="17">
        <v>17624.05</v>
      </c>
      <c r="C407" s="10"/>
      <c r="D407" s="19">
        <f t="shared" si="221"/>
        <v>1.4138411131193697E-3</v>
      </c>
    </row>
    <row r="408" spans="1:4" x14ac:dyDescent="0.35">
      <c r="A408" s="16">
        <v>45027</v>
      </c>
      <c r="B408" s="17">
        <v>17722.3</v>
      </c>
      <c r="C408" s="10"/>
      <c r="D408" s="19">
        <f t="shared" si="221"/>
        <v>5.5592870573658824E-3</v>
      </c>
    </row>
    <row r="409" spans="1:4" x14ac:dyDescent="0.35">
      <c r="A409" s="16">
        <v>45028</v>
      </c>
      <c r="B409" s="17">
        <v>17812.400000000001</v>
      </c>
      <c r="C409" s="10"/>
      <c r="D409" s="19">
        <f t="shared" si="221"/>
        <v>5.0711103842399786E-3</v>
      </c>
    </row>
    <row r="410" spans="1:4" x14ac:dyDescent="0.35">
      <c r="A410" s="16">
        <v>45029</v>
      </c>
      <c r="B410" s="17">
        <v>17828</v>
      </c>
      <c r="C410" s="10"/>
      <c r="D410" s="19">
        <f t="shared" si="221"/>
        <v>8.7541110628643569E-4</v>
      </c>
    </row>
    <row r="411" spans="1:4" x14ac:dyDescent="0.35">
      <c r="A411" s="16">
        <v>45033</v>
      </c>
      <c r="B411" s="17">
        <v>17706.849999999999</v>
      </c>
      <c r="C411" s="10"/>
      <c r="D411" s="19">
        <f t="shared" si="221"/>
        <v>-6.8186847221795004E-3</v>
      </c>
    </row>
    <row r="412" spans="1:4" x14ac:dyDescent="0.35">
      <c r="A412" s="16">
        <v>45034</v>
      </c>
      <c r="B412" s="17">
        <v>17660.150000000001</v>
      </c>
      <c r="C412" s="10"/>
      <c r="D412" s="19">
        <f t="shared" si="221"/>
        <v>-2.6408814511533168E-3</v>
      </c>
    </row>
    <row r="413" spans="1:4" x14ac:dyDescent="0.35">
      <c r="A413" s="16">
        <v>45035</v>
      </c>
      <c r="B413" s="17">
        <v>17618.75</v>
      </c>
      <c r="C413" s="10"/>
      <c r="D413" s="19">
        <f t="shared" si="221"/>
        <v>-2.3470130306909674E-3</v>
      </c>
    </row>
    <row r="414" spans="1:4" x14ac:dyDescent="0.35">
      <c r="A414" s="16">
        <v>45036</v>
      </c>
      <c r="B414" s="17">
        <v>17624.45</v>
      </c>
      <c r="C414" s="10"/>
      <c r="D414" s="19">
        <f t="shared" si="221"/>
        <v>3.2346665738081727E-4</v>
      </c>
    </row>
    <row r="415" spans="1:4" x14ac:dyDescent="0.35">
      <c r="A415" s="16">
        <v>45037</v>
      </c>
      <c r="B415" s="17">
        <v>17624.05</v>
      </c>
      <c r="C415" s="10"/>
      <c r="D415" s="19">
        <f t="shared" si="221"/>
        <v>-2.2696001249353279E-5</v>
      </c>
    </row>
    <row r="416" spans="1:4" x14ac:dyDescent="0.35">
      <c r="A416" s="16">
        <v>45040</v>
      </c>
      <c r="B416" s="17">
        <v>17743.400000000001</v>
      </c>
      <c r="C416" s="10"/>
      <c r="D416" s="19">
        <f t="shared" si="221"/>
        <v>6.7491692528103258E-3</v>
      </c>
    </row>
    <row r="417" spans="1:4" x14ac:dyDescent="0.35">
      <c r="A417" s="16">
        <v>45041</v>
      </c>
      <c r="B417" s="17">
        <v>17769.25</v>
      </c>
      <c r="C417" s="10"/>
      <c r="D417" s="19">
        <f t="shared" si="221"/>
        <v>1.4558195215261978E-3</v>
      </c>
    </row>
    <row r="418" spans="1:4" x14ac:dyDescent="0.35">
      <c r="A418" s="16">
        <v>45042</v>
      </c>
      <c r="B418" s="17">
        <v>17813.599999999999</v>
      </c>
      <c r="C418" s="10"/>
      <c r="D418" s="19">
        <f t="shared" si="221"/>
        <v>2.4927751973571103E-3</v>
      </c>
    </row>
    <row r="419" spans="1:4" x14ac:dyDescent="0.35">
      <c r="A419" s="16">
        <v>45043</v>
      </c>
      <c r="B419" s="17">
        <v>17915.05</v>
      </c>
      <c r="C419" s="10"/>
      <c r="D419" s="19">
        <f t="shared" si="221"/>
        <v>5.6789312022102979E-3</v>
      </c>
    </row>
    <row r="420" spans="1:4" x14ac:dyDescent="0.35">
      <c r="A420" s="16">
        <v>45044</v>
      </c>
      <c r="B420" s="17">
        <v>18065</v>
      </c>
      <c r="C420" s="10"/>
      <c r="D420" s="19">
        <f t="shared" si="221"/>
        <v>8.3352228892828832E-3</v>
      </c>
    </row>
    <row r="421" spans="1:4" x14ac:dyDescent="0.35">
      <c r="A421" s="16">
        <v>45048</v>
      </c>
      <c r="B421" s="17">
        <v>18147.650000000001</v>
      </c>
      <c r="C421" s="10"/>
      <c r="D421" s="19">
        <f t="shared" si="221"/>
        <v>4.564711144417706E-3</v>
      </c>
    </row>
    <row r="422" spans="1:4" x14ac:dyDescent="0.35">
      <c r="A422" s="16">
        <v>45049</v>
      </c>
      <c r="B422" s="17">
        <v>18089.849999999999</v>
      </c>
      <c r="C422" s="10"/>
      <c r="D422" s="19">
        <f t="shared" si="221"/>
        <v>-3.190068245158949E-3</v>
      </c>
    </row>
    <row r="423" spans="1:4" x14ac:dyDescent="0.35">
      <c r="A423" s="16">
        <v>45050</v>
      </c>
      <c r="B423" s="17">
        <v>18255.8</v>
      </c>
      <c r="C423" s="10"/>
      <c r="D423" s="19">
        <f t="shared" si="221"/>
        <v>9.1318302584812369E-3</v>
      </c>
    </row>
    <row r="424" spans="1:4" x14ac:dyDescent="0.35">
      <c r="A424" s="16">
        <v>45051</v>
      </c>
      <c r="B424" s="17">
        <v>18069</v>
      </c>
      <c r="C424" s="10"/>
      <c r="D424" s="19">
        <f t="shared" si="221"/>
        <v>-1.0285075027649962E-2</v>
      </c>
    </row>
    <row r="425" spans="1:4" x14ac:dyDescent="0.35">
      <c r="A425" s="16">
        <v>45054</v>
      </c>
      <c r="B425" s="17">
        <v>18264.400000000001</v>
      </c>
      <c r="C425" s="10"/>
      <c r="D425" s="19">
        <f t="shared" si="221"/>
        <v>1.075604726542361E-2</v>
      </c>
    </row>
    <row r="426" spans="1:4" x14ac:dyDescent="0.35">
      <c r="A426" s="16">
        <v>45055</v>
      </c>
      <c r="B426" s="17">
        <v>18265.95</v>
      </c>
      <c r="C426" s="10"/>
      <c r="D426" s="19">
        <f t="shared" si="221"/>
        <v>8.4860944443795967E-5</v>
      </c>
    </row>
    <row r="427" spans="1:4" x14ac:dyDescent="0.35">
      <c r="A427" s="16">
        <v>45056</v>
      </c>
      <c r="B427" s="17">
        <v>18315.099999999999</v>
      </c>
      <c r="C427" s="10"/>
      <c r="D427" s="19">
        <f t="shared" si="221"/>
        <v>2.6871852817707963E-3</v>
      </c>
    </row>
    <row r="428" spans="1:4" x14ac:dyDescent="0.35">
      <c r="A428" s="16">
        <v>45057</v>
      </c>
      <c r="B428" s="17">
        <v>18297</v>
      </c>
      <c r="C428" s="10"/>
      <c r="D428" s="19">
        <f t="shared" si="221"/>
        <v>-9.8874423890292907E-4</v>
      </c>
    </row>
    <row r="429" spans="1:4" x14ac:dyDescent="0.35">
      <c r="A429" s="16">
        <v>45058</v>
      </c>
      <c r="B429" s="17">
        <v>18314.8</v>
      </c>
      <c r="C429" s="10"/>
      <c r="D429" s="19">
        <f t="shared" si="221"/>
        <v>9.723641778049823E-4</v>
      </c>
    </row>
    <row r="430" spans="1:4" x14ac:dyDescent="0.35">
      <c r="A430" s="16">
        <v>45061</v>
      </c>
      <c r="B430" s="17">
        <v>18398.849999999999</v>
      </c>
      <c r="C430" s="10"/>
      <c r="D430" s="19">
        <f t="shared" si="221"/>
        <v>4.5786865014996328E-3</v>
      </c>
    </row>
    <row r="431" spans="1:4" x14ac:dyDescent="0.35">
      <c r="A431" s="16">
        <v>45062</v>
      </c>
      <c r="B431" s="17">
        <v>18286.5</v>
      </c>
      <c r="C431" s="10"/>
      <c r="D431" s="19">
        <f t="shared" si="221"/>
        <v>-6.1250799705598689E-3</v>
      </c>
    </row>
    <row r="432" spans="1:4" x14ac:dyDescent="0.35">
      <c r="A432" s="16">
        <v>45063</v>
      </c>
      <c r="B432" s="17">
        <v>18181.75</v>
      </c>
      <c r="C432" s="10"/>
      <c r="D432" s="19">
        <f t="shared" si="221"/>
        <v>-5.7447389485387043E-3</v>
      </c>
    </row>
    <row r="433" spans="1:4" x14ac:dyDescent="0.35">
      <c r="A433" s="16">
        <v>45064</v>
      </c>
      <c r="B433" s="17">
        <v>18129.95</v>
      </c>
      <c r="C433" s="10"/>
      <c r="D433" s="19">
        <f t="shared" si="221"/>
        <v>-2.8530768395788001E-3</v>
      </c>
    </row>
    <row r="434" spans="1:4" x14ac:dyDescent="0.35">
      <c r="A434" s="16">
        <v>45065</v>
      </c>
      <c r="B434" s="17">
        <v>18203.400000000001</v>
      </c>
      <c r="C434" s="10"/>
      <c r="D434" s="19">
        <f t="shared" si="221"/>
        <v>4.0431229190964193E-3</v>
      </c>
    </row>
    <row r="435" spans="1:4" x14ac:dyDescent="0.35">
      <c r="A435" s="16">
        <v>45068</v>
      </c>
      <c r="B435" s="17">
        <v>18314.400000000001</v>
      </c>
      <c r="C435" s="10"/>
      <c r="D435" s="19">
        <f t="shared" si="221"/>
        <v>6.0792458392437739E-3</v>
      </c>
    </row>
    <row r="436" spans="1:4" x14ac:dyDescent="0.35">
      <c r="A436" s="16">
        <v>45069</v>
      </c>
      <c r="B436" s="17">
        <v>18348</v>
      </c>
      <c r="C436" s="10"/>
      <c r="D436" s="19">
        <f t="shared" si="221"/>
        <v>1.8329410735294929E-3</v>
      </c>
    </row>
    <row r="437" spans="1:4" x14ac:dyDescent="0.35">
      <c r="A437" s="16">
        <v>45070</v>
      </c>
      <c r="B437" s="17">
        <v>18285.400000000001</v>
      </c>
      <c r="C437" s="10"/>
      <c r="D437" s="19">
        <f t="shared" si="221"/>
        <v>-3.4176495183284154E-3</v>
      </c>
    </row>
    <row r="438" spans="1:4" x14ac:dyDescent="0.35">
      <c r="A438" s="16">
        <v>45071</v>
      </c>
      <c r="B438" s="17">
        <v>18321.150000000001</v>
      </c>
      <c r="C438" s="10"/>
      <c r="D438" s="19">
        <f t="shared" si="221"/>
        <v>1.953202985013659E-3</v>
      </c>
    </row>
    <row r="439" spans="1:4" x14ac:dyDescent="0.35">
      <c r="A439" s="16">
        <v>45072</v>
      </c>
      <c r="B439" s="17">
        <v>18499.349999999999</v>
      </c>
      <c r="C439" s="10"/>
      <c r="D439" s="19">
        <f t="shared" si="221"/>
        <v>9.6794661302798419E-3</v>
      </c>
    </row>
    <row r="440" spans="1:4" x14ac:dyDescent="0.35">
      <c r="A440" s="16">
        <v>45075</v>
      </c>
      <c r="B440" s="17">
        <v>18598.650000000001</v>
      </c>
      <c r="C440" s="10"/>
      <c r="D440" s="19">
        <f t="shared" si="221"/>
        <v>5.3534011080012102E-3</v>
      </c>
    </row>
    <row r="441" spans="1:4" x14ac:dyDescent="0.35">
      <c r="A441" s="16">
        <v>45076</v>
      </c>
      <c r="B441" s="17">
        <v>18633.849999999999</v>
      </c>
      <c r="C441" s="10"/>
      <c r="D441" s="19">
        <f t="shared" si="221"/>
        <v>1.8908217545032591E-3</v>
      </c>
    </row>
    <row r="442" spans="1:4" x14ac:dyDescent="0.35">
      <c r="A442" s="16">
        <v>45077</v>
      </c>
      <c r="B442" s="17">
        <v>18534.400000000001</v>
      </c>
      <c r="C442" s="10"/>
      <c r="D442" s="19">
        <f t="shared" si="221"/>
        <v>-5.3513543052989016E-3</v>
      </c>
    </row>
    <row r="443" spans="1:4" x14ac:dyDescent="0.35">
      <c r="A443" s="16">
        <v>45078</v>
      </c>
      <c r="B443" s="17">
        <v>18487.75</v>
      </c>
      <c r="C443" s="10"/>
      <c r="D443" s="19">
        <f t="shared" si="221"/>
        <v>-2.5201142931687418E-3</v>
      </c>
    </row>
    <row r="444" spans="1:4" x14ac:dyDescent="0.35">
      <c r="A444" s="16">
        <v>45079</v>
      </c>
      <c r="B444" s="17">
        <v>18534.099999999999</v>
      </c>
      <c r="C444" s="10"/>
      <c r="D444" s="19">
        <f t="shared" si="221"/>
        <v>2.5039280433874476E-3</v>
      </c>
    </row>
    <row r="445" spans="1:4" x14ac:dyDescent="0.35">
      <c r="A445" s="16">
        <v>45082</v>
      </c>
      <c r="B445" s="17">
        <v>18593.849999999999</v>
      </c>
      <c r="C445" s="10"/>
      <c r="D445" s="19">
        <f t="shared" si="221"/>
        <v>3.2186022433864751E-3</v>
      </c>
    </row>
    <row r="446" spans="1:4" x14ac:dyDescent="0.35">
      <c r="A446" s="16">
        <v>45083</v>
      </c>
      <c r="B446" s="17">
        <v>18599</v>
      </c>
      <c r="C446" s="10"/>
      <c r="D446" s="19">
        <f t="shared" si="221"/>
        <v>2.7693495028842678E-4</v>
      </c>
    </row>
    <row r="447" spans="1:4" x14ac:dyDescent="0.35">
      <c r="A447" s="16">
        <v>45084</v>
      </c>
      <c r="B447" s="17">
        <v>18726.400000000001</v>
      </c>
      <c r="C447" s="10"/>
      <c r="D447" s="19">
        <f t="shared" si="221"/>
        <v>6.826477130569099E-3</v>
      </c>
    </row>
    <row r="448" spans="1:4" x14ac:dyDescent="0.35">
      <c r="A448" s="16">
        <v>45085</v>
      </c>
      <c r="B448" s="17">
        <v>18634.55</v>
      </c>
      <c r="C448" s="10"/>
      <c r="D448" s="19">
        <f t="shared" si="221"/>
        <v>-4.9169084323055657E-3</v>
      </c>
    </row>
    <row r="449" spans="1:4" x14ac:dyDescent="0.35">
      <c r="A449" s="16">
        <v>45086</v>
      </c>
      <c r="B449" s="17">
        <v>18563.400000000001</v>
      </c>
      <c r="C449" s="10"/>
      <c r="D449" s="19">
        <f t="shared" si="221"/>
        <v>-3.8254842952022451E-3</v>
      </c>
    </row>
    <row r="450" spans="1:4" x14ac:dyDescent="0.35">
      <c r="A450" s="16">
        <v>45089</v>
      </c>
      <c r="B450" s="17">
        <v>18601.5</v>
      </c>
      <c r="C450" s="10"/>
      <c r="D450" s="19">
        <f t="shared" si="221"/>
        <v>2.0503223927487504E-3</v>
      </c>
    </row>
    <row r="451" spans="1:4" x14ac:dyDescent="0.35">
      <c r="A451" s="16">
        <v>45090</v>
      </c>
      <c r="B451" s="17">
        <v>18716.150000000001</v>
      </c>
      <c r="C451" s="10"/>
      <c r="D451" s="19">
        <f t="shared" ref="D451:D514" si="222">LN(B451/B450)</f>
        <v>6.1445648760739416E-3</v>
      </c>
    </row>
    <row r="452" spans="1:4" x14ac:dyDescent="0.35">
      <c r="A452" s="16">
        <v>45091</v>
      </c>
      <c r="B452" s="17">
        <v>18755.900000000001</v>
      </c>
      <c r="C452" s="10"/>
      <c r="D452" s="19">
        <f t="shared" si="222"/>
        <v>2.1215820810404676E-3</v>
      </c>
    </row>
    <row r="453" spans="1:4" x14ac:dyDescent="0.35">
      <c r="A453" s="16">
        <v>45092</v>
      </c>
      <c r="B453" s="17">
        <v>18688.099999999999</v>
      </c>
      <c r="C453" s="10"/>
      <c r="D453" s="19">
        <f t="shared" si="222"/>
        <v>-3.6214119270170913E-3</v>
      </c>
    </row>
    <row r="454" spans="1:4" x14ac:dyDescent="0.35">
      <c r="A454" s="16">
        <v>45093</v>
      </c>
      <c r="B454" s="17">
        <v>18826</v>
      </c>
      <c r="C454" s="10"/>
      <c r="D454" s="19">
        <f t="shared" si="222"/>
        <v>7.3519354661314941E-3</v>
      </c>
    </row>
    <row r="455" spans="1:4" x14ac:dyDescent="0.35">
      <c r="A455" s="16">
        <v>45096</v>
      </c>
      <c r="B455" s="17">
        <v>18755.45</v>
      </c>
      <c r="C455" s="10"/>
      <c r="D455" s="19">
        <f t="shared" si="222"/>
        <v>-3.7545162773133895E-3</v>
      </c>
    </row>
    <row r="456" spans="1:4" x14ac:dyDescent="0.35">
      <c r="A456" s="16">
        <v>45097</v>
      </c>
      <c r="B456" s="17">
        <v>18816.7</v>
      </c>
      <c r="C456" s="10"/>
      <c r="D456" s="19">
        <f t="shared" si="222"/>
        <v>3.2603965574623172E-3</v>
      </c>
    </row>
    <row r="457" spans="1:4" x14ac:dyDescent="0.35">
      <c r="A457" s="16">
        <v>45098</v>
      </c>
      <c r="B457" s="17">
        <v>18856.849999999999</v>
      </c>
      <c r="C457" s="10"/>
      <c r="D457" s="19">
        <f t="shared" si="222"/>
        <v>2.1314697022533084E-3</v>
      </c>
    </row>
    <row r="458" spans="1:4" x14ac:dyDescent="0.35">
      <c r="A458" s="16">
        <v>45099</v>
      </c>
      <c r="B458" s="17">
        <v>18771.25</v>
      </c>
      <c r="C458" s="10"/>
      <c r="D458" s="19">
        <f t="shared" si="222"/>
        <v>-4.5497990950773125E-3</v>
      </c>
    </row>
    <row r="459" spans="1:4" x14ac:dyDescent="0.35">
      <c r="A459" s="16">
        <v>45100</v>
      </c>
      <c r="B459" s="17">
        <v>18665.5</v>
      </c>
      <c r="C459" s="10"/>
      <c r="D459" s="19">
        <f t="shared" si="222"/>
        <v>-5.6495438985202338E-3</v>
      </c>
    </row>
    <row r="460" spans="1:4" x14ac:dyDescent="0.35">
      <c r="A460" s="16">
        <v>45103</v>
      </c>
      <c r="B460" s="17">
        <v>18691.2</v>
      </c>
      <c r="C460" s="10"/>
      <c r="D460" s="19">
        <f t="shared" si="222"/>
        <v>1.3759247500199831E-3</v>
      </c>
    </row>
    <row r="461" spans="1:4" x14ac:dyDescent="0.35">
      <c r="A461" s="16">
        <v>45104</v>
      </c>
      <c r="B461" s="17">
        <v>18817.400000000001</v>
      </c>
      <c r="C461" s="10"/>
      <c r="D461" s="19">
        <f t="shared" si="222"/>
        <v>6.729148846371014E-3</v>
      </c>
    </row>
    <row r="462" spans="1:4" x14ac:dyDescent="0.35">
      <c r="A462" s="16">
        <v>45105</v>
      </c>
      <c r="B462" s="17">
        <v>18972.099999999999</v>
      </c>
      <c r="C462" s="10"/>
      <c r="D462" s="19">
        <f t="shared" si="222"/>
        <v>8.1875052167941238E-3</v>
      </c>
    </row>
    <row r="463" spans="1:4" x14ac:dyDescent="0.35">
      <c r="A463" s="16">
        <v>45107</v>
      </c>
      <c r="B463" s="17">
        <v>19189.05</v>
      </c>
      <c r="C463" s="10"/>
      <c r="D463" s="19">
        <f t="shared" si="222"/>
        <v>1.1370324916684512E-2</v>
      </c>
    </row>
    <row r="464" spans="1:4" x14ac:dyDescent="0.35">
      <c r="A464" s="16">
        <v>45110</v>
      </c>
      <c r="B464" s="17">
        <v>19322.55</v>
      </c>
      <c r="C464" s="10"/>
      <c r="D464" s="19">
        <f t="shared" si="222"/>
        <v>6.9330038087148356E-3</v>
      </c>
    </row>
    <row r="465" spans="1:4" x14ac:dyDescent="0.35">
      <c r="A465" s="16">
        <v>45111</v>
      </c>
      <c r="B465" s="17">
        <v>19389</v>
      </c>
      <c r="C465" s="10"/>
      <c r="D465" s="19">
        <f t="shared" si="222"/>
        <v>3.4330872964505156E-3</v>
      </c>
    </row>
    <row r="466" spans="1:4" x14ac:dyDescent="0.35">
      <c r="A466" s="16">
        <v>45112</v>
      </c>
      <c r="B466" s="17">
        <v>19398.5</v>
      </c>
      <c r="C466" s="10"/>
      <c r="D466" s="19">
        <f t="shared" si="222"/>
        <v>4.8984854347202441E-4</v>
      </c>
    </row>
    <row r="467" spans="1:4" x14ac:dyDescent="0.35">
      <c r="A467" s="16">
        <v>45113</v>
      </c>
      <c r="B467" s="17">
        <v>19497.3</v>
      </c>
      <c r="C467" s="10"/>
      <c r="D467" s="19">
        <f t="shared" si="222"/>
        <v>5.0802509522156619E-3</v>
      </c>
    </row>
    <row r="468" spans="1:4" x14ac:dyDescent="0.35">
      <c r="A468" s="16">
        <v>45114</v>
      </c>
      <c r="B468" s="17">
        <v>19331.8</v>
      </c>
      <c r="C468" s="10"/>
      <c r="D468" s="19">
        <f t="shared" si="222"/>
        <v>-8.524586056305487E-3</v>
      </c>
    </row>
    <row r="469" spans="1:4" x14ac:dyDescent="0.35">
      <c r="A469" s="16">
        <v>45117</v>
      </c>
      <c r="B469" s="17">
        <v>19355.900000000001</v>
      </c>
      <c r="C469" s="10"/>
      <c r="D469" s="19">
        <f t="shared" si="222"/>
        <v>1.2458741727910268E-3</v>
      </c>
    </row>
    <row r="470" spans="1:4" x14ac:dyDescent="0.35">
      <c r="A470" s="16">
        <v>45118</v>
      </c>
      <c r="B470" s="17">
        <v>19439.400000000001</v>
      </c>
      <c r="C470" s="10"/>
      <c r="D470" s="19">
        <f t="shared" si="222"/>
        <v>4.3046517974119156E-3</v>
      </c>
    </row>
    <row r="471" spans="1:4" x14ac:dyDescent="0.35">
      <c r="A471" s="16">
        <v>45119</v>
      </c>
      <c r="B471" s="17">
        <v>19384.3</v>
      </c>
      <c r="C471" s="10"/>
      <c r="D471" s="19">
        <f t="shared" si="222"/>
        <v>-2.8384742821917232E-3</v>
      </c>
    </row>
    <row r="472" spans="1:4" x14ac:dyDescent="0.35">
      <c r="A472" s="16">
        <v>45120</v>
      </c>
      <c r="B472" s="17">
        <v>19413.75</v>
      </c>
      <c r="C472" s="10"/>
      <c r="D472" s="19">
        <f t="shared" si="222"/>
        <v>1.5181178258223326E-3</v>
      </c>
    </row>
    <row r="473" spans="1:4" x14ac:dyDescent="0.35">
      <c r="A473" s="16">
        <v>45121</v>
      </c>
      <c r="B473" s="17">
        <v>19564.5</v>
      </c>
      <c r="C473" s="10"/>
      <c r="D473" s="19">
        <f t="shared" si="222"/>
        <v>7.735121594226721E-3</v>
      </c>
    </row>
    <row r="474" spans="1:4" x14ac:dyDescent="0.35">
      <c r="A474" s="16">
        <v>45124</v>
      </c>
      <c r="B474" s="17">
        <v>19711.45</v>
      </c>
      <c r="C474" s="10"/>
      <c r="D474" s="19">
        <f t="shared" si="222"/>
        <v>7.4829856798224494E-3</v>
      </c>
    </row>
    <row r="475" spans="1:4" x14ac:dyDescent="0.35">
      <c r="A475" s="16">
        <v>45125</v>
      </c>
      <c r="B475" s="17">
        <v>19749.25</v>
      </c>
      <c r="C475" s="10"/>
      <c r="D475" s="19">
        <f t="shared" si="222"/>
        <v>1.9158307663970271E-3</v>
      </c>
    </row>
    <row r="476" spans="1:4" x14ac:dyDescent="0.35">
      <c r="A476" s="16">
        <v>45126</v>
      </c>
      <c r="B476" s="17">
        <v>19833.150000000001</v>
      </c>
      <c r="C476" s="10"/>
      <c r="D476" s="19">
        <f t="shared" si="222"/>
        <v>4.2392642007422158E-3</v>
      </c>
    </row>
    <row r="477" spans="1:4" x14ac:dyDescent="0.35">
      <c r="A477" s="16">
        <v>45127</v>
      </c>
      <c r="B477" s="17">
        <v>19979.150000000001</v>
      </c>
      <c r="C477" s="10"/>
      <c r="D477" s="19">
        <f t="shared" si="222"/>
        <v>7.3344496296331371E-3</v>
      </c>
    </row>
    <row r="478" spans="1:4" x14ac:dyDescent="0.35">
      <c r="A478" s="16">
        <v>45128</v>
      </c>
      <c r="B478" s="17">
        <v>19745</v>
      </c>
      <c r="C478" s="10"/>
      <c r="D478" s="19">
        <f t="shared" si="222"/>
        <v>-1.1788935034292592E-2</v>
      </c>
    </row>
    <row r="479" spans="1:4" x14ac:dyDescent="0.35">
      <c r="A479" s="16">
        <v>45131</v>
      </c>
      <c r="B479" s="17">
        <v>19672.349999999999</v>
      </c>
      <c r="C479" s="10"/>
      <c r="D479" s="19">
        <f t="shared" si="222"/>
        <v>-3.6861981977146939E-3</v>
      </c>
    </row>
    <row r="480" spans="1:4" x14ac:dyDescent="0.35">
      <c r="A480" s="16">
        <v>45132</v>
      </c>
      <c r="B480" s="17">
        <v>19680.599999999999</v>
      </c>
      <c r="C480" s="10"/>
      <c r="D480" s="19">
        <f t="shared" si="222"/>
        <v>4.1928242334364116E-4</v>
      </c>
    </row>
    <row r="481" spans="1:4" x14ac:dyDescent="0.35">
      <c r="A481" s="16">
        <v>45133</v>
      </c>
      <c r="B481" s="17">
        <v>19778.3</v>
      </c>
      <c r="C481" s="10"/>
      <c r="D481" s="19">
        <f t="shared" si="222"/>
        <v>4.9519981374134591E-3</v>
      </c>
    </row>
    <row r="482" spans="1:4" x14ac:dyDescent="0.35">
      <c r="A482" s="16">
        <v>45134</v>
      </c>
      <c r="B482" s="17">
        <v>19659.900000000001</v>
      </c>
      <c r="C482" s="10"/>
      <c r="D482" s="19">
        <f t="shared" si="222"/>
        <v>-6.0043488655605838E-3</v>
      </c>
    </row>
    <row r="483" spans="1:4" x14ac:dyDescent="0.35">
      <c r="A483" s="16">
        <v>45135</v>
      </c>
      <c r="B483" s="17">
        <v>19646.05</v>
      </c>
      <c r="C483" s="10"/>
      <c r="D483" s="19">
        <f t="shared" si="222"/>
        <v>-7.0472793931755033E-4</v>
      </c>
    </row>
    <row r="484" spans="1:4" x14ac:dyDescent="0.35">
      <c r="A484" s="16">
        <v>45138</v>
      </c>
      <c r="B484" s="17">
        <v>19753.8</v>
      </c>
      <c r="C484" s="10"/>
      <c r="D484" s="19">
        <f t="shared" si="222"/>
        <v>5.4695776061646278E-3</v>
      </c>
    </row>
    <row r="485" spans="1:4" x14ac:dyDescent="0.35">
      <c r="A485" s="16">
        <v>45139</v>
      </c>
      <c r="B485" s="17">
        <v>19733.55</v>
      </c>
      <c r="C485" s="10"/>
      <c r="D485" s="19">
        <f t="shared" si="222"/>
        <v>-1.0256450116385468E-3</v>
      </c>
    </row>
    <row r="486" spans="1:4" x14ac:dyDescent="0.35">
      <c r="A486" s="16">
        <v>45140</v>
      </c>
      <c r="B486" s="17">
        <v>19526.55</v>
      </c>
      <c r="C486" s="10"/>
      <c r="D486" s="19">
        <f t="shared" si="222"/>
        <v>-1.0545154913078857E-2</v>
      </c>
    </row>
    <row r="487" spans="1:4" x14ac:dyDescent="0.35">
      <c r="A487" s="16">
        <v>45141</v>
      </c>
      <c r="B487" s="17">
        <v>19381.650000000001</v>
      </c>
      <c r="C487" s="10"/>
      <c r="D487" s="19">
        <f t="shared" si="222"/>
        <v>-7.4483358208647541E-3</v>
      </c>
    </row>
    <row r="488" spans="1:4" x14ac:dyDescent="0.35">
      <c r="A488" s="16">
        <v>45142</v>
      </c>
      <c r="B488" s="17">
        <v>19517</v>
      </c>
      <c r="C488" s="10"/>
      <c r="D488" s="19">
        <f t="shared" si="222"/>
        <v>6.9591384917051941E-3</v>
      </c>
    </row>
    <row r="489" spans="1:4" x14ac:dyDescent="0.35">
      <c r="A489" s="16">
        <v>45145</v>
      </c>
      <c r="B489" s="17">
        <v>19597.3</v>
      </c>
      <c r="C489" s="10"/>
      <c r="D489" s="19">
        <f t="shared" si="222"/>
        <v>4.1059209962603233E-3</v>
      </c>
    </row>
    <row r="490" spans="1:4" x14ac:dyDescent="0.35">
      <c r="A490" s="16">
        <v>45146</v>
      </c>
      <c r="B490" s="17">
        <v>19570.849999999999</v>
      </c>
      <c r="C490" s="10"/>
      <c r="D490" s="19">
        <f t="shared" si="222"/>
        <v>-1.3505873532751007E-3</v>
      </c>
    </row>
    <row r="491" spans="1:4" x14ac:dyDescent="0.35">
      <c r="A491" s="16">
        <v>45147</v>
      </c>
      <c r="B491" s="17">
        <v>19632.55</v>
      </c>
      <c r="C491" s="10"/>
      <c r="D491" s="19">
        <f t="shared" si="222"/>
        <v>3.1476887690017655E-3</v>
      </c>
    </row>
    <row r="492" spans="1:4" x14ac:dyDescent="0.35">
      <c r="A492" s="16">
        <v>45148</v>
      </c>
      <c r="B492" s="17">
        <v>19543.099999999999</v>
      </c>
      <c r="C492" s="10"/>
      <c r="D492" s="19">
        <f t="shared" si="222"/>
        <v>-4.5666201045435747E-3</v>
      </c>
    </row>
    <row r="493" spans="1:4" x14ac:dyDescent="0.35">
      <c r="A493" s="16">
        <v>45149</v>
      </c>
      <c r="B493" s="17">
        <v>19428.3</v>
      </c>
      <c r="C493" s="10"/>
      <c r="D493" s="19">
        <f t="shared" si="222"/>
        <v>-5.8915169615944563E-3</v>
      </c>
    </row>
    <row r="494" spans="1:4" x14ac:dyDescent="0.35">
      <c r="A494" s="16">
        <v>45152</v>
      </c>
      <c r="B494" s="17">
        <v>19434.55</v>
      </c>
      <c r="C494" s="10"/>
      <c r="D494" s="19">
        <f t="shared" si="222"/>
        <v>3.2164393779061565E-4</v>
      </c>
    </row>
    <row r="495" spans="1:4" x14ac:dyDescent="0.35">
      <c r="A495" s="16">
        <v>45154</v>
      </c>
      <c r="B495" s="17">
        <v>19465</v>
      </c>
      <c r="C495" s="10"/>
      <c r="D495" s="19">
        <f t="shared" si="222"/>
        <v>1.5655711297147335E-3</v>
      </c>
    </row>
    <row r="496" spans="1:4" x14ac:dyDescent="0.35">
      <c r="A496" s="16">
        <v>45155</v>
      </c>
      <c r="B496" s="17">
        <v>19365.25</v>
      </c>
      <c r="C496" s="10"/>
      <c r="D496" s="19">
        <f t="shared" si="222"/>
        <v>-5.137758290060533E-3</v>
      </c>
    </row>
    <row r="497" spans="1:4" x14ac:dyDescent="0.35">
      <c r="A497" s="16">
        <v>45156</v>
      </c>
      <c r="B497" s="17">
        <v>19310.150000000001</v>
      </c>
      <c r="C497" s="10"/>
      <c r="D497" s="19">
        <f t="shared" si="222"/>
        <v>-2.8493583662490217E-3</v>
      </c>
    </row>
    <row r="498" spans="1:4" x14ac:dyDescent="0.35">
      <c r="A498" s="16">
        <v>45159</v>
      </c>
      <c r="B498" s="17">
        <v>19393.599999999999</v>
      </c>
      <c r="C498" s="10"/>
      <c r="D498" s="19">
        <f t="shared" si="222"/>
        <v>4.3122503280009121E-3</v>
      </c>
    </row>
    <row r="499" spans="1:4" x14ac:dyDescent="0.35">
      <c r="A499" s="16">
        <v>45160</v>
      </c>
      <c r="B499" s="17">
        <v>19396.45</v>
      </c>
      <c r="C499" s="10"/>
      <c r="D499" s="19">
        <f t="shared" si="222"/>
        <v>1.4694489979421606E-4</v>
      </c>
    </row>
    <row r="500" spans="1:4" x14ac:dyDescent="0.35">
      <c r="A500" s="16">
        <v>45161</v>
      </c>
      <c r="B500" s="17">
        <v>19444</v>
      </c>
      <c r="C500" s="10"/>
      <c r="D500" s="19">
        <f t="shared" si="222"/>
        <v>2.4484795493044608E-3</v>
      </c>
    </row>
    <row r="501" spans="1:4" x14ac:dyDescent="0.35">
      <c r="A501" s="16">
        <v>45162</v>
      </c>
      <c r="B501" s="17">
        <v>19386.7</v>
      </c>
      <c r="C501" s="10"/>
      <c r="D501" s="19">
        <f t="shared" si="222"/>
        <v>-2.9512752327599183E-3</v>
      </c>
    </row>
    <row r="502" spans="1:4" x14ac:dyDescent="0.35">
      <c r="A502" s="16">
        <v>45163</v>
      </c>
      <c r="B502" s="17">
        <v>19265.8</v>
      </c>
      <c r="C502" s="10"/>
      <c r="D502" s="19">
        <f t="shared" si="222"/>
        <v>-6.2557606509410085E-3</v>
      </c>
    </row>
    <row r="503" spans="1:4" x14ac:dyDescent="0.35">
      <c r="A503" s="16">
        <v>45166</v>
      </c>
      <c r="B503" s="17">
        <v>19306.05</v>
      </c>
      <c r="C503" s="10"/>
      <c r="D503" s="19">
        <f t="shared" si="222"/>
        <v>2.0870149919961396E-3</v>
      </c>
    </row>
    <row r="504" spans="1:4" x14ac:dyDescent="0.35">
      <c r="A504" s="16">
        <v>45167</v>
      </c>
      <c r="B504" s="17">
        <v>19342.650000000001</v>
      </c>
      <c r="C504" s="10"/>
      <c r="D504" s="19">
        <f t="shared" si="222"/>
        <v>1.8939840636754115E-3</v>
      </c>
    </row>
    <row r="505" spans="1:4" x14ac:dyDescent="0.35">
      <c r="A505" s="16">
        <v>45168</v>
      </c>
      <c r="B505" s="17">
        <v>19347.45</v>
      </c>
      <c r="C505" s="10"/>
      <c r="D505" s="19">
        <f t="shared" si="222"/>
        <v>2.4812549073918429E-4</v>
      </c>
    </row>
    <row r="506" spans="1:4" x14ac:dyDescent="0.35">
      <c r="A506" s="16">
        <v>45169</v>
      </c>
      <c r="B506" s="17">
        <v>19253.8</v>
      </c>
      <c r="C506" s="10"/>
      <c r="D506" s="19">
        <f t="shared" si="222"/>
        <v>-4.8521839960522653E-3</v>
      </c>
    </row>
    <row r="507" spans="1:4" x14ac:dyDescent="0.35">
      <c r="A507" s="16">
        <v>45170</v>
      </c>
      <c r="B507" s="17">
        <v>19435.3</v>
      </c>
      <c r="C507" s="10"/>
      <c r="D507" s="19">
        <f t="shared" si="222"/>
        <v>9.3825564041325141E-3</v>
      </c>
    </row>
    <row r="508" spans="1:4" x14ac:dyDescent="0.35">
      <c r="A508" s="16">
        <v>45173</v>
      </c>
      <c r="B508" s="17">
        <v>19528.8</v>
      </c>
      <c r="C508" s="10"/>
      <c r="D508" s="19">
        <f t="shared" si="222"/>
        <v>4.7992988144208368E-3</v>
      </c>
    </row>
    <row r="509" spans="1:4" x14ac:dyDescent="0.35">
      <c r="A509" s="16">
        <v>45174</v>
      </c>
      <c r="B509" s="17">
        <v>19574.900000000001</v>
      </c>
      <c r="C509" s="10"/>
      <c r="D509" s="19">
        <f t="shared" si="222"/>
        <v>2.3578342385654032E-3</v>
      </c>
    </row>
    <row r="510" spans="1:4" x14ac:dyDescent="0.35">
      <c r="A510" s="16">
        <v>45175</v>
      </c>
      <c r="B510" s="17">
        <v>19611.05</v>
      </c>
      <c r="C510" s="10"/>
      <c r="D510" s="19">
        <f t="shared" si="222"/>
        <v>1.8450495779825536E-3</v>
      </c>
    </row>
    <row r="511" spans="1:4" x14ac:dyDescent="0.35">
      <c r="A511" s="16">
        <v>45176</v>
      </c>
      <c r="B511" s="17">
        <v>19727.05</v>
      </c>
      <c r="C511" s="10"/>
      <c r="D511" s="19">
        <f t="shared" si="222"/>
        <v>5.8976074708040286E-3</v>
      </c>
    </row>
    <row r="512" spans="1:4" x14ac:dyDescent="0.35">
      <c r="A512" s="16">
        <v>45177</v>
      </c>
      <c r="B512" s="17">
        <v>19819.95</v>
      </c>
      <c r="C512" s="10"/>
      <c r="D512" s="19">
        <f t="shared" si="222"/>
        <v>4.6982158385487317E-3</v>
      </c>
    </row>
    <row r="513" spans="1:4" x14ac:dyDescent="0.35">
      <c r="A513" s="16">
        <v>45180</v>
      </c>
      <c r="B513" s="17">
        <v>19996.349999999999</v>
      </c>
      <c r="C513" s="10"/>
      <c r="D513" s="19">
        <f t="shared" si="222"/>
        <v>8.8607507045185847E-3</v>
      </c>
    </row>
    <row r="514" spans="1:4" x14ac:dyDescent="0.35">
      <c r="A514" s="16">
        <v>45181</v>
      </c>
      <c r="B514" s="17">
        <v>19993.2</v>
      </c>
      <c r="C514" s="10"/>
      <c r="D514" s="19">
        <f t="shared" si="222"/>
        <v>-1.5754115795312492E-4</v>
      </c>
    </row>
    <row r="515" spans="1:4" x14ac:dyDescent="0.35">
      <c r="A515" s="16">
        <v>45182</v>
      </c>
      <c r="B515" s="17">
        <v>20070</v>
      </c>
      <c r="C515" s="10"/>
      <c r="D515" s="19">
        <f t="shared" ref="D515:D578" si="223">LN(B515/B514)</f>
        <v>3.833947067360447E-3</v>
      </c>
    </row>
    <row r="516" spans="1:4" x14ac:dyDescent="0.35">
      <c r="A516" s="16">
        <v>45183</v>
      </c>
      <c r="B516" s="17">
        <v>20103.099999999999</v>
      </c>
      <c r="C516" s="10"/>
      <c r="D516" s="19">
        <f t="shared" si="223"/>
        <v>1.6478692204573958E-3</v>
      </c>
    </row>
    <row r="517" spans="1:4" x14ac:dyDescent="0.35">
      <c r="A517" s="16">
        <v>45184</v>
      </c>
      <c r="B517" s="17">
        <v>20192.349999999999</v>
      </c>
      <c r="C517" s="10"/>
      <c r="D517" s="19">
        <f t="shared" si="223"/>
        <v>4.4297877773378114E-3</v>
      </c>
    </row>
    <row r="518" spans="1:4" x14ac:dyDescent="0.35">
      <c r="A518" s="16">
        <v>45187</v>
      </c>
      <c r="B518" s="17">
        <v>20133.3</v>
      </c>
      <c r="C518" s="10"/>
      <c r="D518" s="19">
        <f t="shared" si="223"/>
        <v>-2.9286591638919969E-3</v>
      </c>
    </row>
    <row r="519" spans="1:4" x14ac:dyDescent="0.35">
      <c r="A519" s="16">
        <v>45189</v>
      </c>
      <c r="B519" s="17">
        <v>19901.400000000001</v>
      </c>
      <c r="C519" s="10"/>
      <c r="D519" s="19">
        <f t="shared" si="223"/>
        <v>-1.1585079627478101E-2</v>
      </c>
    </row>
    <row r="520" spans="1:4" x14ac:dyDescent="0.35">
      <c r="A520" s="16">
        <v>45190</v>
      </c>
      <c r="B520" s="17">
        <v>19742.349999999999</v>
      </c>
      <c r="C520" s="10"/>
      <c r="D520" s="19">
        <f t="shared" si="223"/>
        <v>-8.0240064758942062E-3</v>
      </c>
    </row>
    <row r="521" spans="1:4" x14ac:dyDescent="0.35">
      <c r="A521" s="16">
        <v>45191</v>
      </c>
      <c r="B521" s="17">
        <v>19674.25</v>
      </c>
      <c r="C521" s="10"/>
      <c r="D521" s="19">
        <f t="shared" si="223"/>
        <v>-3.45540040278986E-3</v>
      </c>
    </row>
    <row r="522" spans="1:4" x14ac:dyDescent="0.35">
      <c r="A522" s="16">
        <v>45194</v>
      </c>
      <c r="B522" s="17">
        <v>19674.55</v>
      </c>
      <c r="C522" s="10"/>
      <c r="D522" s="19">
        <f t="shared" si="223"/>
        <v>1.5248241369763049E-5</v>
      </c>
    </row>
    <row r="523" spans="1:4" x14ac:dyDescent="0.35">
      <c r="A523" s="16">
        <v>45195</v>
      </c>
      <c r="B523" s="17">
        <v>19664.7</v>
      </c>
      <c r="C523" s="10"/>
      <c r="D523" s="19">
        <f t="shared" si="223"/>
        <v>-5.00772140080995E-4</v>
      </c>
    </row>
    <row r="524" spans="1:4" x14ac:dyDescent="0.35">
      <c r="A524" s="16">
        <v>45196</v>
      </c>
      <c r="B524" s="17">
        <v>19716.45</v>
      </c>
      <c r="C524" s="10"/>
      <c r="D524" s="19">
        <f t="shared" si="223"/>
        <v>2.6281624476409476E-3</v>
      </c>
    </row>
    <row r="525" spans="1:4" x14ac:dyDescent="0.35">
      <c r="A525" s="16">
        <v>45197</v>
      </c>
      <c r="B525" s="17">
        <v>19523.55</v>
      </c>
      <c r="C525" s="10"/>
      <c r="D525" s="19">
        <f t="shared" si="223"/>
        <v>-9.8318834812623906E-3</v>
      </c>
    </row>
    <row r="526" spans="1:4" x14ac:dyDescent="0.35">
      <c r="A526" s="16">
        <v>45198</v>
      </c>
      <c r="B526" s="17">
        <v>19638.3</v>
      </c>
      <c r="C526" s="10"/>
      <c r="D526" s="19">
        <f t="shared" si="223"/>
        <v>5.860311931494425E-3</v>
      </c>
    </row>
    <row r="527" spans="1:4" x14ac:dyDescent="0.35">
      <c r="A527" s="16">
        <v>45202</v>
      </c>
      <c r="B527" s="17">
        <v>19528.75</v>
      </c>
      <c r="C527" s="10"/>
      <c r="D527" s="19">
        <f t="shared" si="223"/>
        <v>-5.5940023911736723E-3</v>
      </c>
    </row>
    <row r="528" spans="1:4" x14ac:dyDescent="0.35">
      <c r="A528" s="16">
        <v>45203</v>
      </c>
      <c r="B528" s="17">
        <v>19436.099999999999</v>
      </c>
      <c r="C528" s="10"/>
      <c r="D528" s="19">
        <f t="shared" si="223"/>
        <v>-4.7555771219727006E-3</v>
      </c>
    </row>
    <row r="529" spans="1:4" x14ac:dyDescent="0.35">
      <c r="A529" s="16">
        <v>45204</v>
      </c>
      <c r="B529" s="17">
        <v>19545.75</v>
      </c>
      <c r="C529" s="10"/>
      <c r="D529" s="19">
        <f t="shared" si="223"/>
        <v>5.625709872108961E-3</v>
      </c>
    </row>
    <row r="530" spans="1:4" x14ac:dyDescent="0.35">
      <c r="A530" s="16">
        <v>45205</v>
      </c>
      <c r="B530" s="17">
        <v>19653.5</v>
      </c>
      <c r="C530" s="10"/>
      <c r="D530" s="19">
        <f t="shared" si="223"/>
        <v>5.4975680085460219E-3</v>
      </c>
    </row>
    <row r="531" spans="1:4" x14ac:dyDescent="0.35">
      <c r="A531" s="16">
        <v>45208</v>
      </c>
      <c r="B531" s="17">
        <v>19512.349999999999</v>
      </c>
      <c r="C531" s="10"/>
      <c r="D531" s="19">
        <f t="shared" si="223"/>
        <v>-7.2078410705406432E-3</v>
      </c>
    </row>
    <row r="532" spans="1:4" x14ac:dyDescent="0.35">
      <c r="A532" s="16">
        <v>45209</v>
      </c>
      <c r="B532" s="17">
        <v>19689.849999999999</v>
      </c>
      <c r="C532" s="10"/>
      <c r="D532" s="19">
        <f t="shared" si="223"/>
        <v>9.0556761096549799E-3</v>
      </c>
    </row>
    <row r="533" spans="1:4" x14ac:dyDescent="0.35">
      <c r="A533" s="16">
        <v>45210</v>
      </c>
      <c r="B533" s="17">
        <v>19811.349999999999</v>
      </c>
      <c r="C533" s="10"/>
      <c r="D533" s="19">
        <f t="shared" si="223"/>
        <v>6.1517312470612808E-3</v>
      </c>
    </row>
    <row r="534" spans="1:4" x14ac:dyDescent="0.35">
      <c r="A534" s="16">
        <v>45211</v>
      </c>
      <c r="B534" s="17">
        <v>19794</v>
      </c>
      <c r="C534" s="10"/>
      <c r="D534" s="19">
        <f t="shared" si="223"/>
        <v>-8.761443143344063E-4</v>
      </c>
    </row>
    <row r="535" spans="1:4" x14ac:dyDescent="0.35">
      <c r="A535" s="16">
        <v>45212</v>
      </c>
      <c r="B535" s="17">
        <v>19751.05</v>
      </c>
      <c r="C535" s="10"/>
      <c r="D535" s="19">
        <f t="shared" si="223"/>
        <v>-2.1722069835914395E-3</v>
      </c>
    </row>
    <row r="536" spans="1:4" x14ac:dyDescent="0.35">
      <c r="A536" s="16">
        <v>45215</v>
      </c>
      <c r="B536" s="17">
        <v>19731.75</v>
      </c>
      <c r="C536" s="10"/>
      <c r="D536" s="19">
        <f t="shared" si="223"/>
        <v>-9.7764097466312354E-4</v>
      </c>
    </row>
    <row r="537" spans="1:4" x14ac:dyDescent="0.35">
      <c r="A537" s="16">
        <v>45216</v>
      </c>
      <c r="B537" s="17">
        <v>19811.5</v>
      </c>
      <c r="C537" s="10"/>
      <c r="D537" s="19">
        <f t="shared" si="223"/>
        <v>4.0335636613206176E-3</v>
      </c>
    </row>
    <row r="538" spans="1:4" x14ac:dyDescent="0.35">
      <c r="A538" s="16">
        <v>45217</v>
      </c>
      <c r="B538" s="17">
        <v>19671.099999999999</v>
      </c>
      <c r="C538" s="10"/>
      <c r="D538" s="19">
        <f t="shared" si="223"/>
        <v>-7.112023615253143E-3</v>
      </c>
    </row>
    <row r="539" spans="1:4" x14ac:dyDescent="0.35">
      <c r="A539" s="16">
        <v>45218</v>
      </c>
      <c r="B539" s="17">
        <v>19624.7</v>
      </c>
      <c r="C539" s="10"/>
      <c r="D539" s="19">
        <f t="shared" si="223"/>
        <v>-2.3615766348855094E-3</v>
      </c>
    </row>
    <row r="540" spans="1:4" x14ac:dyDescent="0.35">
      <c r="A540" s="16">
        <v>45219</v>
      </c>
      <c r="B540" s="17">
        <v>19542.650000000001</v>
      </c>
      <c r="C540" s="10"/>
      <c r="D540" s="19">
        <f t="shared" si="223"/>
        <v>-4.1897202656687891E-3</v>
      </c>
    </row>
    <row r="541" spans="1:4" x14ac:dyDescent="0.35">
      <c r="A541" s="16">
        <v>45222</v>
      </c>
      <c r="B541" s="17">
        <v>19281.75</v>
      </c>
      <c r="C541" s="10"/>
      <c r="D541" s="19">
        <f t="shared" si="223"/>
        <v>-1.3440203963636189E-2</v>
      </c>
    </row>
    <row r="542" spans="1:4" x14ac:dyDescent="0.35">
      <c r="A542" s="16">
        <v>45224</v>
      </c>
      <c r="B542" s="17">
        <v>19122.150000000001</v>
      </c>
      <c r="C542" s="10"/>
      <c r="D542" s="19">
        <f t="shared" si="223"/>
        <v>-8.3117036978903082E-3</v>
      </c>
    </row>
    <row r="543" spans="1:4" x14ac:dyDescent="0.35">
      <c r="A543" s="16">
        <v>45225</v>
      </c>
      <c r="B543" s="17">
        <v>18857.25</v>
      </c>
      <c r="C543" s="10"/>
      <c r="D543" s="19">
        <f t="shared" si="223"/>
        <v>-1.3949893667133624E-2</v>
      </c>
    </row>
    <row r="544" spans="1:4" x14ac:dyDescent="0.35">
      <c r="A544" s="16">
        <v>45226</v>
      </c>
      <c r="B544" s="17">
        <v>19047.25</v>
      </c>
      <c r="C544" s="10"/>
      <c r="D544" s="19">
        <f t="shared" si="223"/>
        <v>1.0025278863763394E-2</v>
      </c>
    </row>
    <row r="545" spans="1:4" x14ac:dyDescent="0.35">
      <c r="A545" s="16">
        <v>45229</v>
      </c>
      <c r="B545" s="17">
        <v>19140.900000000001</v>
      </c>
      <c r="C545" s="10"/>
      <c r="D545" s="19">
        <f t="shared" si="223"/>
        <v>4.9046726660236838E-3</v>
      </c>
    </row>
    <row r="546" spans="1:4" x14ac:dyDescent="0.35">
      <c r="A546" s="16">
        <v>45230</v>
      </c>
      <c r="B546" s="17">
        <v>19079.599999999999</v>
      </c>
      <c r="C546" s="10"/>
      <c r="D546" s="19">
        <f t="shared" si="223"/>
        <v>-3.207705423086861E-3</v>
      </c>
    </row>
    <row r="547" spans="1:4" x14ac:dyDescent="0.35">
      <c r="A547" s="16">
        <v>45231</v>
      </c>
      <c r="B547" s="17">
        <v>18989.150000000001</v>
      </c>
      <c r="C547" s="10"/>
      <c r="D547" s="19">
        <f t="shared" si="223"/>
        <v>-4.7519380175908114E-3</v>
      </c>
    </row>
    <row r="548" spans="1:4" x14ac:dyDescent="0.35">
      <c r="A548" s="16">
        <v>45232</v>
      </c>
      <c r="B548" s="17">
        <v>19133.25</v>
      </c>
      <c r="C548" s="10"/>
      <c r="D548" s="19">
        <f t="shared" si="223"/>
        <v>7.5598958250219696E-3</v>
      </c>
    </row>
    <row r="549" spans="1:4" x14ac:dyDescent="0.35">
      <c r="A549" s="16">
        <v>45233</v>
      </c>
      <c r="B549" s="17">
        <v>19230.599999999999</v>
      </c>
      <c r="C549" s="10"/>
      <c r="D549" s="19">
        <f t="shared" si="223"/>
        <v>5.0751011147600316E-3</v>
      </c>
    </row>
    <row r="550" spans="1:4" x14ac:dyDescent="0.35">
      <c r="A550" s="16">
        <v>45236</v>
      </c>
      <c r="B550" s="17">
        <v>19411.75</v>
      </c>
      <c r="C550" s="10"/>
      <c r="D550" s="19">
        <f t="shared" si="223"/>
        <v>9.3757924662759996E-3</v>
      </c>
    </row>
    <row r="551" spans="1:4" x14ac:dyDescent="0.35">
      <c r="A551" s="16">
        <v>45237</v>
      </c>
      <c r="B551" s="17">
        <v>19406.7</v>
      </c>
      <c r="C551" s="10"/>
      <c r="D551" s="19">
        <f t="shared" si="223"/>
        <v>-2.6018555756290862E-4</v>
      </c>
    </row>
    <row r="552" spans="1:4" x14ac:dyDescent="0.35">
      <c r="A552" s="16">
        <v>45238</v>
      </c>
      <c r="B552" s="17">
        <v>19443.5</v>
      </c>
      <c r="C552" s="10"/>
      <c r="D552" s="19">
        <f t="shared" si="223"/>
        <v>1.8944567083908723E-3</v>
      </c>
    </row>
    <row r="553" spans="1:4" x14ac:dyDescent="0.35">
      <c r="A553" s="16">
        <v>45239</v>
      </c>
      <c r="B553" s="17">
        <v>19395.3</v>
      </c>
      <c r="C553" s="10"/>
      <c r="D553" s="19">
        <f t="shared" si="223"/>
        <v>-2.4820553026905696E-3</v>
      </c>
    </row>
    <row r="554" spans="1:4" x14ac:dyDescent="0.35">
      <c r="A554" s="16">
        <v>45240</v>
      </c>
      <c r="B554" s="17">
        <v>19425.349999999999</v>
      </c>
      <c r="C554" s="10"/>
      <c r="D554" s="19">
        <f t="shared" si="223"/>
        <v>1.548145433003843E-3</v>
      </c>
    </row>
    <row r="555" spans="1:4" x14ac:dyDescent="0.35">
      <c r="A555" s="16">
        <v>45242</v>
      </c>
      <c r="B555" s="17">
        <v>19525.55</v>
      </c>
      <c r="C555" s="10"/>
      <c r="D555" s="19">
        <f t="shared" si="223"/>
        <v>5.1449502336882525E-3</v>
      </c>
    </row>
    <row r="556" spans="1:4" x14ac:dyDescent="0.35">
      <c r="A556" s="16">
        <v>45243</v>
      </c>
      <c r="B556" s="17">
        <v>19443.55</v>
      </c>
      <c r="C556" s="10"/>
      <c r="D556" s="19">
        <f t="shared" si="223"/>
        <v>-4.2084688138326878E-3</v>
      </c>
    </row>
    <row r="557" spans="1:4" x14ac:dyDescent="0.35">
      <c r="A557" s="16">
        <v>45245</v>
      </c>
      <c r="B557" s="17">
        <v>19675.45</v>
      </c>
      <c r="C557" s="10"/>
      <c r="D557" s="19">
        <f t="shared" si="223"/>
        <v>1.185627017720115E-2</v>
      </c>
    </row>
    <row r="558" spans="1:4" x14ac:dyDescent="0.35">
      <c r="A558" s="16">
        <v>45246</v>
      </c>
      <c r="B558" s="17">
        <v>19765.2</v>
      </c>
      <c r="C558" s="10"/>
      <c r="D558" s="19">
        <f t="shared" si="223"/>
        <v>4.5511498880301303E-3</v>
      </c>
    </row>
    <row r="559" spans="1:4" x14ac:dyDescent="0.35">
      <c r="A559" s="16">
        <v>45247</v>
      </c>
      <c r="B559" s="17">
        <v>19731.8</v>
      </c>
      <c r="C559" s="10"/>
      <c r="D559" s="19">
        <f t="shared" si="223"/>
        <v>-1.6912680943572324E-3</v>
      </c>
    </row>
    <row r="560" spans="1:4" x14ac:dyDescent="0.35">
      <c r="A560" s="16">
        <v>45250</v>
      </c>
      <c r="B560" s="17">
        <v>19694</v>
      </c>
      <c r="C560" s="10"/>
      <c r="D560" s="19">
        <f t="shared" si="223"/>
        <v>-1.9175266745258626E-3</v>
      </c>
    </row>
    <row r="561" spans="1:4" x14ac:dyDescent="0.35">
      <c r="A561" s="16">
        <v>45251</v>
      </c>
      <c r="B561" s="17">
        <v>19783.400000000001</v>
      </c>
      <c r="C561" s="10"/>
      <c r="D561" s="19">
        <f t="shared" si="223"/>
        <v>4.5291813962118265E-3</v>
      </c>
    </row>
    <row r="562" spans="1:4" x14ac:dyDescent="0.35">
      <c r="A562" s="16">
        <v>45252</v>
      </c>
      <c r="B562" s="17">
        <v>19811.849999999999</v>
      </c>
      <c r="C562" s="10"/>
      <c r="D562" s="19">
        <f t="shared" si="223"/>
        <v>1.4370413065190699E-3</v>
      </c>
    </row>
    <row r="563" spans="1:4" x14ac:dyDescent="0.35">
      <c r="A563" s="16">
        <v>45253</v>
      </c>
      <c r="B563" s="17">
        <v>19802</v>
      </c>
      <c r="C563" s="10"/>
      <c r="D563" s="19">
        <f t="shared" si="223"/>
        <v>-4.9730082801831082E-4</v>
      </c>
    </row>
    <row r="564" spans="1:4" x14ac:dyDescent="0.35">
      <c r="A564" s="16">
        <v>45254</v>
      </c>
      <c r="B564" s="17">
        <v>19794.7</v>
      </c>
      <c r="C564" s="10"/>
      <c r="D564" s="19">
        <f t="shared" si="223"/>
        <v>-3.6871759933041186E-4</v>
      </c>
    </row>
    <row r="565" spans="1:4" x14ac:dyDescent="0.35">
      <c r="A565" s="16">
        <v>45258</v>
      </c>
      <c r="B565" s="17">
        <v>19889.7</v>
      </c>
      <c r="C565" s="10"/>
      <c r="D565" s="19">
        <f t="shared" si="223"/>
        <v>4.7877846948800578E-3</v>
      </c>
    </row>
    <row r="566" spans="1:4" x14ac:dyDescent="0.35">
      <c r="A566" s="16">
        <v>45259</v>
      </c>
      <c r="B566" s="17">
        <v>20096.599999999999</v>
      </c>
      <c r="C566" s="10"/>
      <c r="D566" s="19">
        <f t="shared" si="223"/>
        <v>1.0348636732111694E-2</v>
      </c>
    </row>
    <row r="567" spans="1:4" x14ac:dyDescent="0.35">
      <c r="A567" s="16">
        <v>45260</v>
      </c>
      <c r="B567" s="17">
        <v>20133.150000000001</v>
      </c>
      <c r="C567" s="10"/>
      <c r="D567" s="19">
        <f t="shared" si="223"/>
        <v>1.8170637429511605E-3</v>
      </c>
    </row>
    <row r="568" spans="1:4" x14ac:dyDescent="0.35">
      <c r="A568" s="16">
        <v>45261</v>
      </c>
      <c r="B568" s="17">
        <v>20267.900000000001</v>
      </c>
      <c r="C568" s="10"/>
      <c r="D568" s="19">
        <f t="shared" si="223"/>
        <v>6.6706434446280362E-3</v>
      </c>
    </row>
    <row r="569" spans="1:4" x14ac:dyDescent="0.35">
      <c r="A569" s="16">
        <v>45264</v>
      </c>
      <c r="B569" s="17">
        <v>20686.8</v>
      </c>
      <c r="C569" s="10"/>
      <c r="D569" s="19">
        <f t="shared" si="223"/>
        <v>2.0457461991232925E-2</v>
      </c>
    </row>
    <row r="570" spans="1:4" x14ac:dyDescent="0.35">
      <c r="A570" s="16">
        <v>45265</v>
      </c>
      <c r="B570" s="17">
        <v>20855.099999999999</v>
      </c>
      <c r="C570" s="10"/>
      <c r="D570" s="19">
        <f t="shared" si="223"/>
        <v>8.1027069438026102E-3</v>
      </c>
    </row>
    <row r="571" spans="1:4" x14ac:dyDescent="0.35">
      <c r="A571" s="16">
        <v>45266</v>
      </c>
      <c r="B571" s="17">
        <v>20937.7</v>
      </c>
      <c r="C571" s="10"/>
      <c r="D571" s="19">
        <f t="shared" si="223"/>
        <v>3.9528391278700111E-3</v>
      </c>
    </row>
    <row r="572" spans="1:4" x14ac:dyDescent="0.35">
      <c r="A572" s="16">
        <v>45267</v>
      </c>
      <c r="B572" s="17">
        <v>20901.150000000001</v>
      </c>
      <c r="C572" s="10"/>
      <c r="D572" s="19">
        <f t="shared" si="223"/>
        <v>-1.7471803980189876E-3</v>
      </c>
    </row>
    <row r="573" spans="1:4" x14ac:dyDescent="0.35">
      <c r="A573" s="16">
        <v>45268</v>
      </c>
      <c r="B573" s="17">
        <v>20969.400000000001</v>
      </c>
      <c r="C573" s="10"/>
      <c r="D573" s="19">
        <f t="shared" si="223"/>
        <v>3.2600508207486305E-3</v>
      </c>
    </row>
    <row r="574" spans="1:4" x14ac:dyDescent="0.35">
      <c r="A574" s="16">
        <v>45271</v>
      </c>
      <c r="B574" s="17">
        <v>20997.1</v>
      </c>
      <c r="C574" s="10"/>
      <c r="D574" s="19">
        <f t="shared" si="223"/>
        <v>1.3201007481038823E-3</v>
      </c>
    </row>
    <row r="575" spans="1:4" x14ac:dyDescent="0.35">
      <c r="A575" s="16">
        <v>45272</v>
      </c>
      <c r="B575" s="17">
        <v>20906.400000000001</v>
      </c>
      <c r="C575" s="10"/>
      <c r="D575" s="19">
        <f t="shared" si="223"/>
        <v>-4.3290007586474161E-3</v>
      </c>
    </row>
    <row r="576" spans="1:4" x14ac:dyDescent="0.35">
      <c r="A576" s="16">
        <v>45273</v>
      </c>
      <c r="B576" s="17">
        <v>20926.349999999999</v>
      </c>
      <c r="C576" s="10"/>
      <c r="D576" s="19">
        <f t="shared" si="223"/>
        <v>9.5379823284038147E-4</v>
      </c>
    </row>
    <row r="577" spans="1:4" x14ac:dyDescent="0.35">
      <c r="A577" s="16">
        <v>45274</v>
      </c>
      <c r="B577" s="17">
        <v>21182.7</v>
      </c>
      <c r="C577" s="10"/>
      <c r="D577" s="19">
        <f t="shared" si="223"/>
        <v>1.2175680378580502E-2</v>
      </c>
    </row>
    <row r="578" spans="1:4" x14ac:dyDescent="0.35">
      <c r="A578" s="16">
        <v>45275</v>
      </c>
      <c r="B578" s="17">
        <v>21456.65</v>
      </c>
      <c r="C578" s="10"/>
      <c r="D578" s="19">
        <f t="shared" si="223"/>
        <v>1.2849809834677589E-2</v>
      </c>
    </row>
    <row r="579" spans="1:4" x14ac:dyDescent="0.35">
      <c r="A579" s="16">
        <v>45278</v>
      </c>
      <c r="B579" s="17">
        <v>21418.65</v>
      </c>
      <c r="C579" s="10"/>
      <c r="D579" s="19">
        <f t="shared" ref="D579:D642" si="224">LN(B579/B578)</f>
        <v>-1.7725828134065394E-3</v>
      </c>
    </row>
    <row r="580" spans="1:4" x14ac:dyDescent="0.35">
      <c r="A580" s="16">
        <v>45279</v>
      </c>
      <c r="B580" s="17">
        <v>21453.1</v>
      </c>
      <c r="C580" s="10"/>
      <c r="D580" s="19">
        <f t="shared" si="224"/>
        <v>1.6071192528823127E-3</v>
      </c>
    </row>
    <row r="581" spans="1:4" x14ac:dyDescent="0.35">
      <c r="A581" s="16">
        <v>45280</v>
      </c>
      <c r="B581" s="17">
        <v>21150.15</v>
      </c>
      <c r="C581" s="10"/>
      <c r="D581" s="19">
        <f t="shared" si="224"/>
        <v>-1.4222159410509942E-2</v>
      </c>
    </row>
    <row r="582" spans="1:4" x14ac:dyDescent="0.35">
      <c r="A582" s="16">
        <v>45281</v>
      </c>
      <c r="B582" s="17">
        <v>21255.05</v>
      </c>
      <c r="C582" s="10"/>
      <c r="D582" s="19">
        <f t="shared" si="224"/>
        <v>4.9475165299410597E-3</v>
      </c>
    </row>
    <row r="583" spans="1:4" x14ac:dyDescent="0.35">
      <c r="A583" s="16">
        <v>45282</v>
      </c>
      <c r="B583" s="17">
        <v>21349.4</v>
      </c>
      <c r="C583" s="10"/>
      <c r="D583" s="19">
        <f t="shared" si="224"/>
        <v>4.4291220395791331E-3</v>
      </c>
    </row>
    <row r="584" spans="1:4" x14ac:dyDescent="0.35">
      <c r="A584" s="16">
        <v>45286</v>
      </c>
      <c r="B584" s="17">
        <v>21441.35</v>
      </c>
      <c r="C584" s="10"/>
      <c r="D584" s="19">
        <f t="shared" si="224"/>
        <v>4.2976644029708395E-3</v>
      </c>
    </row>
    <row r="585" spans="1:4" x14ac:dyDescent="0.35">
      <c r="A585" s="16">
        <v>45287</v>
      </c>
      <c r="B585" s="17">
        <v>21654.75</v>
      </c>
      <c r="C585" s="10"/>
      <c r="D585" s="19">
        <f t="shared" si="224"/>
        <v>9.903529283836263E-3</v>
      </c>
    </row>
    <row r="586" spans="1:4" x14ac:dyDescent="0.35">
      <c r="A586" s="16">
        <v>45288</v>
      </c>
      <c r="B586" s="17">
        <v>21778.7</v>
      </c>
      <c r="C586" s="10"/>
      <c r="D586" s="19">
        <f t="shared" si="224"/>
        <v>5.7075980144208728E-3</v>
      </c>
    </row>
    <row r="587" spans="1:4" x14ac:dyDescent="0.35">
      <c r="A587" s="16">
        <v>45289</v>
      </c>
      <c r="B587" s="17">
        <v>21731.4</v>
      </c>
      <c r="C587" s="10"/>
      <c r="D587" s="19">
        <f t="shared" si="224"/>
        <v>-2.1742086840976452E-3</v>
      </c>
    </row>
    <row r="588" spans="1:4" x14ac:dyDescent="0.35">
      <c r="A588" s="16">
        <v>45292</v>
      </c>
      <c r="B588" s="17">
        <v>21741.9</v>
      </c>
      <c r="C588" s="10"/>
      <c r="D588" s="19">
        <f t="shared" si="224"/>
        <v>4.8305512598190972E-4</v>
      </c>
    </row>
    <row r="589" spans="1:4" x14ac:dyDescent="0.35">
      <c r="A589" s="16">
        <v>45293</v>
      </c>
      <c r="B589" s="17">
        <v>21665.8</v>
      </c>
      <c r="C589" s="10"/>
      <c r="D589" s="19">
        <f t="shared" si="224"/>
        <v>-3.5062939508453059E-3</v>
      </c>
    </row>
    <row r="590" spans="1:4" x14ac:dyDescent="0.35">
      <c r="A590" s="16">
        <v>45294</v>
      </c>
      <c r="B590" s="17">
        <v>21517.35</v>
      </c>
      <c r="C590" s="10"/>
      <c r="D590" s="19">
        <f t="shared" si="224"/>
        <v>-6.8753939803709255E-3</v>
      </c>
    </row>
    <row r="591" spans="1:4" x14ac:dyDescent="0.35">
      <c r="A591" s="16">
        <v>45295</v>
      </c>
      <c r="B591" s="17">
        <v>21658.6</v>
      </c>
      <c r="C591" s="10"/>
      <c r="D591" s="19">
        <f t="shared" si="224"/>
        <v>6.5430177643685588E-3</v>
      </c>
    </row>
    <row r="592" spans="1:4" x14ac:dyDescent="0.35">
      <c r="A592" s="16">
        <v>45296</v>
      </c>
      <c r="B592" s="17">
        <v>21710.799999999999</v>
      </c>
      <c r="C592" s="10"/>
      <c r="D592" s="19">
        <f t="shared" si="224"/>
        <v>2.4072283779417876E-3</v>
      </c>
    </row>
    <row r="593" spans="1:4" x14ac:dyDescent="0.35">
      <c r="A593" s="16">
        <v>45299</v>
      </c>
      <c r="B593" s="17">
        <v>21513</v>
      </c>
      <c r="C593" s="10"/>
      <c r="D593" s="19">
        <f t="shared" si="224"/>
        <v>-9.1524290208980594E-3</v>
      </c>
    </row>
    <row r="594" spans="1:4" x14ac:dyDescent="0.35">
      <c r="A594" s="16">
        <v>45300</v>
      </c>
      <c r="B594" s="17">
        <v>21544.85</v>
      </c>
      <c r="C594" s="10"/>
      <c r="D594" s="19">
        <f t="shared" si="224"/>
        <v>1.4794053028200293E-3</v>
      </c>
    </row>
    <row r="595" spans="1:4" x14ac:dyDescent="0.35">
      <c r="A595" s="16">
        <v>45301</v>
      </c>
      <c r="B595" s="17">
        <v>21618.7</v>
      </c>
      <c r="C595" s="10"/>
      <c r="D595" s="19">
        <f t="shared" si="224"/>
        <v>3.4218720221299791E-3</v>
      </c>
    </row>
    <row r="596" spans="1:4" x14ac:dyDescent="0.35">
      <c r="A596" s="16">
        <v>45302</v>
      </c>
      <c r="B596" s="17">
        <v>21647.200000000001</v>
      </c>
      <c r="C596" s="10"/>
      <c r="D596" s="19">
        <f t="shared" si="224"/>
        <v>1.3174349370812008E-3</v>
      </c>
    </row>
    <row r="597" spans="1:4" x14ac:dyDescent="0.35">
      <c r="A597" s="16">
        <v>45303</v>
      </c>
      <c r="B597" s="17">
        <v>21894.55</v>
      </c>
      <c r="C597" s="10"/>
      <c r="D597" s="19">
        <f t="shared" si="224"/>
        <v>1.1361631573985989E-2</v>
      </c>
    </row>
    <row r="598" spans="1:4" x14ac:dyDescent="0.35">
      <c r="A598" s="16">
        <v>45306</v>
      </c>
      <c r="B598" s="17">
        <v>22097.45</v>
      </c>
      <c r="C598" s="10"/>
      <c r="D598" s="19">
        <f t="shared" si="224"/>
        <v>9.2244698464408817E-3</v>
      </c>
    </row>
    <row r="599" spans="1:4" x14ac:dyDescent="0.35">
      <c r="A599" s="16">
        <v>45307</v>
      </c>
      <c r="B599" s="17">
        <v>22032.3</v>
      </c>
      <c r="C599" s="10"/>
      <c r="D599" s="19">
        <f t="shared" si="224"/>
        <v>-2.9526587996769691E-3</v>
      </c>
    </row>
    <row r="600" spans="1:4" x14ac:dyDescent="0.35">
      <c r="A600" s="16">
        <v>45308</v>
      </c>
      <c r="B600" s="17">
        <v>21571.95</v>
      </c>
      <c r="C600" s="10"/>
      <c r="D600" s="19">
        <f t="shared" si="224"/>
        <v>-2.1115698798429821E-2</v>
      </c>
    </row>
    <row r="601" spans="1:4" x14ac:dyDescent="0.35">
      <c r="A601" s="16">
        <v>45309</v>
      </c>
      <c r="B601" s="17">
        <v>21462.25</v>
      </c>
      <c r="C601" s="10"/>
      <c r="D601" s="19">
        <f t="shared" si="224"/>
        <v>-5.0982817207920056E-3</v>
      </c>
    </row>
    <row r="602" spans="1:4" x14ac:dyDescent="0.35">
      <c r="A602" s="16">
        <v>45310</v>
      </c>
      <c r="B602" s="17">
        <v>21622.400000000001</v>
      </c>
      <c r="C602" s="10"/>
      <c r="D602" s="19">
        <f t="shared" si="224"/>
        <v>7.4342364436114933E-3</v>
      </c>
    </row>
    <row r="603" spans="1:4" x14ac:dyDescent="0.35">
      <c r="A603" s="16">
        <v>45311</v>
      </c>
      <c r="B603" s="17">
        <v>21571.8</v>
      </c>
      <c r="C603" s="10"/>
      <c r="D603" s="19">
        <f t="shared" si="224"/>
        <v>-2.3429082212985306E-3</v>
      </c>
    </row>
    <row r="604" spans="1:4" x14ac:dyDescent="0.35">
      <c r="A604" s="16">
        <v>45314</v>
      </c>
      <c r="B604" s="17">
        <v>21238.799999999999</v>
      </c>
      <c r="C604" s="10"/>
      <c r="D604" s="19">
        <f t="shared" si="224"/>
        <v>-1.5557208551848641E-2</v>
      </c>
    </row>
    <row r="605" spans="1:4" x14ac:dyDescent="0.35">
      <c r="A605" s="16">
        <v>45315</v>
      </c>
      <c r="B605" s="17">
        <v>21453.95</v>
      </c>
      <c r="C605" s="10"/>
      <c r="D605" s="19">
        <f t="shared" si="224"/>
        <v>1.0079080002224091E-2</v>
      </c>
    </row>
    <row r="606" spans="1:4" x14ac:dyDescent="0.35">
      <c r="A606" s="16">
        <v>45316</v>
      </c>
      <c r="B606" s="17">
        <v>21352.6</v>
      </c>
      <c r="C606" s="10"/>
      <c r="D606" s="19">
        <f t="shared" si="224"/>
        <v>-4.7352654852423287E-3</v>
      </c>
    </row>
    <row r="607" spans="1:4" x14ac:dyDescent="0.35">
      <c r="A607" s="16">
        <v>45320</v>
      </c>
      <c r="B607" s="17">
        <v>21737.599999999999</v>
      </c>
      <c r="C607" s="10"/>
      <c r="D607" s="19">
        <f t="shared" si="224"/>
        <v>1.7869967895292525E-2</v>
      </c>
    </row>
    <row r="608" spans="1:4" x14ac:dyDescent="0.35">
      <c r="A608" s="16">
        <v>45321</v>
      </c>
      <c r="B608" s="17">
        <v>21522.1</v>
      </c>
      <c r="C608" s="10"/>
      <c r="D608" s="19">
        <f t="shared" si="224"/>
        <v>-9.9631658391133322E-3</v>
      </c>
    </row>
    <row r="609" spans="1:4" x14ac:dyDescent="0.35">
      <c r="A609" s="16">
        <v>45322</v>
      </c>
      <c r="B609" s="17">
        <v>21725.7</v>
      </c>
      <c r="C609" s="10"/>
      <c r="D609" s="19">
        <f t="shared" si="224"/>
        <v>9.415577400253396E-3</v>
      </c>
    </row>
    <row r="610" spans="1:4" x14ac:dyDescent="0.35">
      <c r="A610" s="16">
        <v>45323</v>
      </c>
      <c r="B610" s="17">
        <v>21697.45</v>
      </c>
      <c r="C610" s="10"/>
      <c r="D610" s="19">
        <f t="shared" si="224"/>
        <v>-1.3011494553287434E-3</v>
      </c>
    </row>
    <row r="611" spans="1:4" x14ac:dyDescent="0.35">
      <c r="A611" s="16">
        <v>45324</v>
      </c>
      <c r="B611" s="17">
        <v>21853.8</v>
      </c>
      <c r="C611" s="10"/>
      <c r="D611" s="19">
        <f t="shared" si="224"/>
        <v>7.18007734330033E-3</v>
      </c>
    </row>
    <row r="612" spans="1:4" x14ac:dyDescent="0.35">
      <c r="A612" s="16">
        <v>45327</v>
      </c>
      <c r="B612" s="17">
        <v>21771.7</v>
      </c>
      <c r="C612" s="10"/>
      <c r="D612" s="19">
        <f t="shared" si="224"/>
        <v>-3.7638581528382955E-3</v>
      </c>
    </row>
    <row r="613" spans="1:4" x14ac:dyDescent="0.35">
      <c r="A613" s="16">
        <v>45328</v>
      </c>
      <c r="B613" s="17">
        <v>21929.4</v>
      </c>
      <c r="C613" s="10"/>
      <c r="D613" s="19">
        <f t="shared" si="224"/>
        <v>7.2172409632705048E-3</v>
      </c>
    </row>
    <row r="614" spans="1:4" x14ac:dyDescent="0.35">
      <c r="A614" s="16">
        <v>45329</v>
      </c>
      <c r="B614" s="17">
        <v>21930.5</v>
      </c>
      <c r="C614" s="10"/>
      <c r="D614" s="19">
        <f t="shared" si="224"/>
        <v>5.0159713096876929E-5</v>
      </c>
    </row>
    <row r="615" spans="1:4" x14ac:dyDescent="0.35">
      <c r="A615" s="16">
        <v>45330</v>
      </c>
      <c r="B615" s="17">
        <v>21717.95</v>
      </c>
      <c r="C615" s="10"/>
      <c r="D615" s="19">
        <f t="shared" si="224"/>
        <v>-9.7392544332029034E-3</v>
      </c>
    </row>
    <row r="616" spans="1:4" x14ac:dyDescent="0.35">
      <c r="A616" s="16">
        <v>45331</v>
      </c>
      <c r="B616" s="17">
        <v>21782.5</v>
      </c>
      <c r="C616" s="10"/>
      <c r="D616" s="19">
        <f t="shared" si="224"/>
        <v>2.9677875690214571E-3</v>
      </c>
    </row>
    <row r="617" spans="1:4" x14ac:dyDescent="0.35">
      <c r="A617" s="16">
        <v>45334</v>
      </c>
      <c r="B617" s="17">
        <v>21616.05</v>
      </c>
      <c r="C617" s="10"/>
      <c r="D617" s="19">
        <f t="shared" si="224"/>
        <v>-7.6708008067306686E-3</v>
      </c>
    </row>
    <row r="618" spans="1:4" x14ac:dyDescent="0.35">
      <c r="A618" s="16">
        <v>45335</v>
      </c>
      <c r="B618" s="17">
        <v>21743.25</v>
      </c>
      <c r="C618" s="10"/>
      <c r="D618" s="19">
        <f t="shared" si="224"/>
        <v>5.8672702236109882E-3</v>
      </c>
    </row>
    <row r="619" spans="1:4" x14ac:dyDescent="0.35">
      <c r="A619" s="16">
        <v>45336</v>
      </c>
      <c r="B619" s="17">
        <v>21840.05</v>
      </c>
      <c r="C619" s="10"/>
      <c r="D619" s="19">
        <f t="shared" si="224"/>
        <v>4.4420757111879932E-3</v>
      </c>
    </row>
    <row r="620" spans="1:4" x14ac:dyDescent="0.35">
      <c r="A620" s="16">
        <v>45337</v>
      </c>
      <c r="B620" s="17">
        <v>21910.75</v>
      </c>
      <c r="C620" s="10"/>
      <c r="D620" s="19">
        <f t="shared" si="224"/>
        <v>3.2319437149108312E-3</v>
      </c>
    </row>
    <row r="621" spans="1:4" x14ac:dyDescent="0.35">
      <c r="A621" s="16">
        <v>45338</v>
      </c>
      <c r="B621" s="17">
        <v>22040.7</v>
      </c>
      <c r="C621" s="10"/>
      <c r="D621" s="19">
        <f t="shared" si="224"/>
        <v>5.9133602496496528E-3</v>
      </c>
    </row>
    <row r="622" spans="1:4" x14ac:dyDescent="0.35">
      <c r="A622" s="16">
        <v>45341</v>
      </c>
      <c r="B622" s="17">
        <v>22122.25</v>
      </c>
      <c r="C622" s="10"/>
      <c r="D622" s="19">
        <f t="shared" si="224"/>
        <v>3.6931451676362253E-3</v>
      </c>
    </row>
    <row r="623" spans="1:4" x14ac:dyDescent="0.35">
      <c r="A623" s="16">
        <v>45342</v>
      </c>
      <c r="B623" s="17">
        <v>22196.95</v>
      </c>
      <c r="C623" s="10"/>
      <c r="D623" s="19">
        <f t="shared" si="224"/>
        <v>3.3710026687649355E-3</v>
      </c>
    </row>
    <row r="624" spans="1:4" x14ac:dyDescent="0.35">
      <c r="A624" s="16">
        <v>45343</v>
      </c>
      <c r="B624" s="17">
        <v>22055.05</v>
      </c>
      <c r="C624" s="10"/>
      <c r="D624" s="19">
        <f t="shared" si="224"/>
        <v>-6.4132914383778911E-3</v>
      </c>
    </row>
    <row r="625" spans="1:4" x14ac:dyDescent="0.35">
      <c r="A625" s="16">
        <v>45344</v>
      </c>
      <c r="B625" s="17">
        <v>22217.45</v>
      </c>
      <c r="C625" s="10"/>
      <c r="D625" s="19">
        <f t="shared" si="224"/>
        <v>7.3364155357774361E-3</v>
      </c>
    </row>
    <row r="626" spans="1:4" x14ac:dyDescent="0.35">
      <c r="A626" s="16">
        <v>45345</v>
      </c>
      <c r="B626" s="17">
        <v>22212.7</v>
      </c>
      <c r="C626" s="10"/>
      <c r="D626" s="19">
        <f t="shared" si="224"/>
        <v>-2.1381877027633613E-4</v>
      </c>
    </row>
    <row r="627" spans="1:4" x14ac:dyDescent="0.35">
      <c r="A627" s="16">
        <v>45348</v>
      </c>
      <c r="B627" s="17">
        <v>22122.05</v>
      </c>
      <c r="C627" s="10"/>
      <c r="D627" s="19">
        <f t="shared" si="224"/>
        <v>-4.0893487084771958E-3</v>
      </c>
    </row>
    <row r="628" spans="1:4" x14ac:dyDescent="0.35">
      <c r="A628" s="16">
        <v>45349</v>
      </c>
      <c r="B628" s="17">
        <v>22198.35</v>
      </c>
      <c r="C628" s="10"/>
      <c r="D628" s="19">
        <f t="shared" si="224"/>
        <v>3.4431131207391997E-3</v>
      </c>
    </row>
    <row r="629" spans="1:4" x14ac:dyDescent="0.35">
      <c r="A629" s="16">
        <v>45350</v>
      </c>
      <c r="B629" s="17">
        <v>21951.15</v>
      </c>
      <c r="C629" s="10"/>
      <c r="D629" s="19">
        <f t="shared" si="224"/>
        <v>-1.1198431843397458E-2</v>
      </c>
    </row>
    <row r="630" spans="1:4" x14ac:dyDescent="0.35">
      <c r="A630" s="16">
        <v>45351</v>
      </c>
      <c r="B630" s="17">
        <v>21982.799999999999</v>
      </c>
      <c r="C630" s="10"/>
      <c r="D630" s="19">
        <f t="shared" si="224"/>
        <v>1.4407994489542065E-3</v>
      </c>
    </row>
    <row r="631" spans="1:4" x14ac:dyDescent="0.35">
      <c r="A631" s="16">
        <v>45352</v>
      </c>
      <c r="B631" s="17">
        <v>22338.75</v>
      </c>
      <c r="C631" s="10"/>
      <c r="D631" s="19">
        <f t="shared" si="224"/>
        <v>1.6062509231593233E-2</v>
      </c>
    </row>
    <row r="632" spans="1:4" x14ac:dyDescent="0.35">
      <c r="A632" s="16">
        <v>45353</v>
      </c>
      <c r="B632" s="17">
        <v>22378.400000000001</v>
      </c>
      <c r="C632" s="10"/>
      <c r="D632" s="19">
        <f t="shared" si="224"/>
        <v>1.7733692952736234E-3</v>
      </c>
    </row>
    <row r="633" spans="1:4" x14ac:dyDescent="0.35">
      <c r="A633" s="16">
        <v>45355</v>
      </c>
      <c r="B633" s="17">
        <v>22405.599999999999</v>
      </c>
      <c r="C633" s="10"/>
      <c r="D633" s="19">
        <f t="shared" si="224"/>
        <v>1.2147196920581206E-3</v>
      </c>
    </row>
    <row r="634" spans="1:4" x14ac:dyDescent="0.35">
      <c r="A634" s="16">
        <v>45356</v>
      </c>
      <c r="B634" s="17">
        <v>22356.3</v>
      </c>
      <c r="C634" s="10"/>
      <c r="D634" s="19">
        <f t="shared" si="224"/>
        <v>-2.202767082468908E-3</v>
      </c>
    </row>
    <row r="635" spans="1:4" x14ac:dyDescent="0.35">
      <c r="A635" s="16">
        <v>45357</v>
      </c>
      <c r="B635" s="17">
        <v>22474.05</v>
      </c>
      <c r="C635" s="10"/>
      <c r="D635" s="19">
        <f t="shared" si="224"/>
        <v>5.2531497425974778E-3</v>
      </c>
    </row>
    <row r="636" spans="1:4" x14ac:dyDescent="0.35">
      <c r="A636" s="16">
        <v>45358</v>
      </c>
      <c r="B636" s="17">
        <v>22493.55</v>
      </c>
      <c r="C636" s="10"/>
      <c r="D636" s="19">
        <f t="shared" si="224"/>
        <v>8.6729117063467345E-4</v>
      </c>
    </row>
    <row r="637" spans="1:4" x14ac:dyDescent="0.35">
      <c r="A637" s="16">
        <v>45362</v>
      </c>
      <c r="B637" s="17">
        <v>22332.65</v>
      </c>
      <c r="C637" s="10"/>
      <c r="D637" s="19">
        <f t="shared" si="224"/>
        <v>-7.1788682071318097E-3</v>
      </c>
    </row>
    <row r="638" spans="1:4" x14ac:dyDescent="0.35">
      <c r="A638" s="16">
        <v>45363</v>
      </c>
      <c r="B638" s="17">
        <v>22335.7</v>
      </c>
      <c r="C638" s="10"/>
      <c r="D638" s="19">
        <f t="shared" si="224"/>
        <v>1.3656201783766265E-4</v>
      </c>
    </row>
    <row r="639" spans="1:4" x14ac:dyDescent="0.35">
      <c r="A639" s="16">
        <v>45364</v>
      </c>
      <c r="B639" s="17">
        <v>21997.7</v>
      </c>
      <c r="C639" s="10"/>
      <c r="D639" s="19">
        <f t="shared" si="224"/>
        <v>-1.524839281915699E-2</v>
      </c>
    </row>
    <row r="640" spans="1:4" x14ac:dyDescent="0.35">
      <c r="A640" s="16">
        <v>45365</v>
      </c>
      <c r="B640" s="17">
        <v>22146.65</v>
      </c>
      <c r="C640" s="10"/>
      <c r="D640" s="19">
        <f t="shared" si="224"/>
        <v>6.7483410794881684E-3</v>
      </c>
    </row>
    <row r="641" spans="1:4" x14ac:dyDescent="0.35">
      <c r="A641" s="16">
        <v>45366</v>
      </c>
      <c r="B641" s="17">
        <v>22023.35</v>
      </c>
      <c r="C641" s="10"/>
      <c r="D641" s="19">
        <f t="shared" si="224"/>
        <v>-5.5829893714841473E-3</v>
      </c>
    </row>
    <row r="642" spans="1:4" x14ac:dyDescent="0.35">
      <c r="A642" s="16">
        <v>45369</v>
      </c>
      <c r="B642" s="17">
        <v>22055.7</v>
      </c>
      <c r="C642" s="10"/>
      <c r="D642" s="19">
        <f t="shared" si="224"/>
        <v>1.4678177414507178E-3</v>
      </c>
    </row>
    <row r="643" spans="1:4" x14ac:dyDescent="0.35">
      <c r="A643" s="16">
        <v>45370</v>
      </c>
      <c r="B643" s="17">
        <v>21817.45</v>
      </c>
      <c r="C643" s="10"/>
      <c r="D643" s="19">
        <f t="shared" ref="D643:D706" si="225">LN(B643/B642)</f>
        <v>-1.0860963573548457E-2</v>
      </c>
    </row>
    <row r="644" spans="1:4" x14ac:dyDescent="0.35">
      <c r="A644" s="16">
        <v>45371</v>
      </c>
      <c r="B644" s="17">
        <v>21839.1</v>
      </c>
      <c r="C644" s="10"/>
      <c r="D644" s="19">
        <f t="shared" si="225"/>
        <v>9.9183292197013414E-4</v>
      </c>
    </row>
    <row r="645" spans="1:4" x14ac:dyDescent="0.35">
      <c r="A645" s="16">
        <v>45372</v>
      </c>
      <c r="B645" s="17">
        <v>22011.95</v>
      </c>
      <c r="C645" s="10"/>
      <c r="D645" s="19">
        <f t="shared" si="225"/>
        <v>7.883546470263552E-3</v>
      </c>
    </row>
    <row r="646" spans="1:4" x14ac:dyDescent="0.35">
      <c r="A646" s="16">
        <v>45373</v>
      </c>
      <c r="B646" s="17">
        <v>22096.75</v>
      </c>
      <c r="C646" s="10"/>
      <c r="D646" s="19">
        <f t="shared" si="225"/>
        <v>3.8450511793153485E-3</v>
      </c>
    </row>
    <row r="647" spans="1:4" x14ac:dyDescent="0.35">
      <c r="A647" s="16">
        <v>45377</v>
      </c>
      <c r="B647" s="17">
        <v>22004.7</v>
      </c>
      <c r="C647" s="10"/>
      <c r="D647" s="19">
        <f t="shared" si="225"/>
        <v>-4.1744719810147216E-3</v>
      </c>
    </row>
    <row r="648" spans="1:4" x14ac:dyDescent="0.35">
      <c r="A648" s="16">
        <v>45378</v>
      </c>
      <c r="B648" s="17">
        <v>22123.65</v>
      </c>
      <c r="C648" s="10"/>
      <c r="D648" s="19">
        <f t="shared" si="225"/>
        <v>5.3911051782769932E-3</v>
      </c>
    </row>
    <row r="649" spans="1:4" x14ac:dyDescent="0.35">
      <c r="A649" s="16">
        <v>45379</v>
      </c>
      <c r="B649" s="17">
        <v>22326.9</v>
      </c>
      <c r="C649" s="10"/>
      <c r="D649" s="19">
        <f t="shared" si="225"/>
        <v>9.1450574409679217E-3</v>
      </c>
    </row>
    <row r="650" spans="1:4" x14ac:dyDescent="0.35">
      <c r="A650" s="16">
        <v>45383</v>
      </c>
      <c r="B650" s="17">
        <v>22462</v>
      </c>
      <c r="C650" s="10"/>
      <c r="D650" s="19">
        <f t="shared" si="225"/>
        <v>6.0327630166456293E-3</v>
      </c>
    </row>
    <row r="651" spans="1:4" x14ac:dyDescent="0.35">
      <c r="A651" s="16">
        <v>45384</v>
      </c>
      <c r="B651" s="17">
        <v>22453.3</v>
      </c>
      <c r="C651" s="10"/>
      <c r="D651" s="19">
        <f t="shared" si="225"/>
        <v>-3.8739583655484331E-4</v>
      </c>
    </row>
    <row r="652" spans="1:4" x14ac:dyDescent="0.35">
      <c r="A652" s="16">
        <v>45385</v>
      </c>
      <c r="B652" s="17">
        <v>22434.65</v>
      </c>
      <c r="C652" s="10"/>
      <c r="D652" s="19">
        <f t="shared" si="225"/>
        <v>-8.3095802205875437E-4</v>
      </c>
    </row>
    <row r="653" spans="1:4" x14ac:dyDescent="0.35">
      <c r="A653" s="16">
        <v>45386</v>
      </c>
      <c r="B653" s="17">
        <v>22514.65</v>
      </c>
      <c r="C653" s="10"/>
      <c r="D653" s="19">
        <f t="shared" si="225"/>
        <v>3.5595697583823936E-3</v>
      </c>
    </row>
    <row r="654" spans="1:4" x14ac:dyDescent="0.35">
      <c r="A654" s="16">
        <v>45387</v>
      </c>
      <c r="B654" s="17">
        <v>22513.7</v>
      </c>
      <c r="C654" s="10"/>
      <c r="D654" s="19">
        <f t="shared" si="225"/>
        <v>-4.2195638976008428E-5</v>
      </c>
    </row>
    <row r="655" spans="1:4" x14ac:dyDescent="0.35">
      <c r="A655" s="16">
        <v>45390</v>
      </c>
      <c r="B655" s="17">
        <v>22666.3</v>
      </c>
      <c r="C655" s="10"/>
      <c r="D655" s="19">
        <f t="shared" si="225"/>
        <v>6.7552271049311262E-3</v>
      </c>
    </row>
    <row r="656" spans="1:4" x14ac:dyDescent="0.35">
      <c r="A656" s="16">
        <v>45391</v>
      </c>
      <c r="B656" s="17">
        <v>22642.75</v>
      </c>
      <c r="C656" s="10"/>
      <c r="D656" s="19">
        <f t="shared" si="225"/>
        <v>-1.0395275169402805E-3</v>
      </c>
    </row>
    <row r="657" spans="1:4" x14ac:dyDescent="0.35">
      <c r="A657" s="16">
        <v>45392</v>
      </c>
      <c r="B657" s="17">
        <v>22753.8</v>
      </c>
      <c r="C657" s="10"/>
      <c r="D657" s="19">
        <f t="shared" si="225"/>
        <v>4.8924520259116325E-3</v>
      </c>
    </row>
    <row r="658" spans="1:4" x14ac:dyDescent="0.35">
      <c r="A658" s="16">
        <v>45394</v>
      </c>
      <c r="B658" s="17">
        <v>22519.4</v>
      </c>
      <c r="C658" s="10"/>
      <c r="D658" s="19">
        <f t="shared" si="225"/>
        <v>-1.0355004482994602E-2</v>
      </c>
    </row>
    <row r="659" spans="1:4" x14ac:dyDescent="0.35">
      <c r="A659" s="16">
        <v>45397</v>
      </c>
      <c r="B659" s="17">
        <v>22272.5</v>
      </c>
      <c r="C659" s="10"/>
      <c r="D659" s="19">
        <f t="shared" si="225"/>
        <v>-1.1024426319883079E-2</v>
      </c>
    </row>
    <row r="660" spans="1:4" x14ac:dyDescent="0.35">
      <c r="A660" s="16">
        <v>45398</v>
      </c>
      <c r="B660" s="17">
        <v>22147.9</v>
      </c>
      <c r="C660" s="10"/>
      <c r="D660" s="19">
        <f t="shared" si="225"/>
        <v>-5.6100497425024482E-3</v>
      </c>
    </row>
    <row r="661" spans="1:4" x14ac:dyDescent="0.35">
      <c r="A661" s="16">
        <v>45400</v>
      </c>
      <c r="B661" s="17">
        <v>21995.85</v>
      </c>
      <c r="C661" s="10"/>
      <c r="D661" s="19">
        <f t="shared" si="225"/>
        <v>-6.8888846695565574E-3</v>
      </c>
    </row>
    <row r="662" spans="1:4" x14ac:dyDescent="0.35">
      <c r="A662" s="16">
        <v>45401</v>
      </c>
      <c r="B662" s="17">
        <v>22147</v>
      </c>
      <c r="C662" s="10"/>
      <c r="D662" s="19">
        <f t="shared" si="225"/>
        <v>6.8482479371053118E-3</v>
      </c>
    </row>
    <row r="663" spans="1:4" x14ac:dyDescent="0.35">
      <c r="A663" s="16">
        <v>45404</v>
      </c>
      <c r="B663" s="17">
        <v>22336.400000000001</v>
      </c>
      <c r="C663" s="10"/>
      <c r="D663" s="19">
        <f t="shared" si="225"/>
        <v>8.5155875913575322E-3</v>
      </c>
    </row>
    <row r="664" spans="1:4" x14ac:dyDescent="0.35">
      <c r="A664" s="16">
        <v>45405</v>
      </c>
      <c r="B664" s="17">
        <v>22368</v>
      </c>
      <c r="C664" s="10"/>
      <c r="D664" s="19">
        <f t="shared" si="225"/>
        <v>1.4137313223340777E-3</v>
      </c>
    </row>
    <row r="665" spans="1:4" x14ac:dyDescent="0.35">
      <c r="A665" s="16">
        <v>45406</v>
      </c>
      <c r="B665" s="17">
        <v>22402.400000000001</v>
      </c>
      <c r="C665" s="10"/>
      <c r="D665" s="19">
        <f t="shared" si="225"/>
        <v>1.5367299273513811E-3</v>
      </c>
    </row>
    <row r="666" spans="1:4" x14ac:dyDescent="0.35">
      <c r="A666" s="16">
        <v>45407</v>
      </c>
      <c r="B666" s="17">
        <v>22570.35</v>
      </c>
      <c r="C666" s="10"/>
      <c r="D666" s="19">
        <f t="shared" si="225"/>
        <v>7.4690020410453127E-3</v>
      </c>
    </row>
    <row r="667" spans="1:4" x14ac:dyDescent="0.35">
      <c r="A667" s="16">
        <v>45408</v>
      </c>
      <c r="B667" s="17">
        <v>22419.95</v>
      </c>
      <c r="C667" s="10"/>
      <c r="D667" s="19">
        <f t="shared" si="225"/>
        <v>-6.6859105299196739E-3</v>
      </c>
    </row>
    <row r="668" spans="1:4" x14ac:dyDescent="0.35">
      <c r="A668" s="16">
        <v>45411</v>
      </c>
      <c r="B668" s="17">
        <v>22643.4</v>
      </c>
      <c r="C668" s="10"/>
      <c r="D668" s="19">
        <f t="shared" si="225"/>
        <v>9.9172312481621942E-3</v>
      </c>
    </row>
    <row r="669" spans="1:4" x14ac:dyDescent="0.35">
      <c r="A669" s="16">
        <v>45412</v>
      </c>
      <c r="B669" s="17">
        <v>22604.85</v>
      </c>
      <c r="C669" s="10"/>
      <c r="D669" s="19">
        <f t="shared" si="225"/>
        <v>-1.7039337135533136E-3</v>
      </c>
    </row>
    <row r="670" spans="1:4" x14ac:dyDescent="0.35">
      <c r="A670" s="16">
        <v>45414</v>
      </c>
      <c r="B670" s="17">
        <v>22648.2</v>
      </c>
      <c r="C670" s="10"/>
      <c r="D670" s="19">
        <f t="shared" si="225"/>
        <v>1.9158935479583357E-3</v>
      </c>
    </row>
    <row r="671" spans="1:4" x14ac:dyDescent="0.35">
      <c r="A671" s="16">
        <v>45415</v>
      </c>
      <c r="B671" s="17">
        <v>22475.85</v>
      </c>
      <c r="C671" s="10"/>
      <c r="D671" s="19">
        <f t="shared" si="225"/>
        <v>-7.6389791301331271E-3</v>
      </c>
    </row>
    <row r="672" spans="1:4" x14ac:dyDescent="0.35">
      <c r="A672" s="16">
        <v>45418</v>
      </c>
      <c r="B672" s="17">
        <v>22442.7</v>
      </c>
      <c r="C672" s="10"/>
      <c r="D672" s="19">
        <f t="shared" si="225"/>
        <v>-1.476005170173867E-3</v>
      </c>
    </row>
    <row r="673" spans="1:4" x14ac:dyDescent="0.35">
      <c r="A673" s="16">
        <v>45419</v>
      </c>
      <c r="B673" s="17">
        <v>22302.5</v>
      </c>
      <c r="C673" s="10"/>
      <c r="D673" s="19">
        <f t="shared" si="225"/>
        <v>-6.2666144663355581E-3</v>
      </c>
    </row>
    <row r="674" spans="1:4" x14ac:dyDescent="0.35">
      <c r="A674" s="16">
        <v>45420</v>
      </c>
      <c r="B674" s="17">
        <v>22302.5</v>
      </c>
      <c r="C674" s="10"/>
      <c r="D674" s="19">
        <f t="shared" si="225"/>
        <v>0</v>
      </c>
    </row>
    <row r="675" spans="1:4" x14ac:dyDescent="0.35">
      <c r="A675" s="16">
        <v>45421</v>
      </c>
      <c r="B675" s="17">
        <v>21957.5</v>
      </c>
      <c r="C675" s="10"/>
      <c r="D675" s="19">
        <f t="shared" si="225"/>
        <v>-1.5590012996666094E-2</v>
      </c>
    </row>
    <row r="676" spans="1:4" x14ac:dyDescent="0.35">
      <c r="A676" s="16">
        <v>45422</v>
      </c>
      <c r="B676" s="17">
        <v>22055.200000000001</v>
      </c>
      <c r="C676" s="10"/>
      <c r="D676" s="19">
        <f t="shared" si="225"/>
        <v>4.4396349451461085E-3</v>
      </c>
    </row>
    <row r="677" spans="1:4" x14ac:dyDescent="0.35">
      <c r="A677" s="16">
        <v>45425</v>
      </c>
      <c r="B677" s="17">
        <v>22104.05</v>
      </c>
      <c r="C677" s="10"/>
      <c r="D677" s="19">
        <f t="shared" si="225"/>
        <v>2.2124478982964036E-3</v>
      </c>
    </row>
    <row r="678" spans="1:4" x14ac:dyDescent="0.35">
      <c r="A678" s="16">
        <v>45426</v>
      </c>
      <c r="B678" s="17">
        <v>22217.85</v>
      </c>
      <c r="C678" s="10"/>
      <c r="D678" s="19">
        <f t="shared" si="225"/>
        <v>5.1351702014188691E-3</v>
      </c>
    </row>
    <row r="679" spans="1:4" x14ac:dyDescent="0.35">
      <c r="A679" s="16">
        <v>45427</v>
      </c>
      <c r="B679" s="17">
        <v>22200.55</v>
      </c>
      <c r="C679" s="10"/>
      <c r="D679" s="19">
        <f t="shared" si="225"/>
        <v>-7.7895650787794773E-4</v>
      </c>
    </row>
    <row r="680" spans="1:4" x14ac:dyDescent="0.35">
      <c r="A680" s="16">
        <v>45428</v>
      </c>
      <c r="B680" s="17">
        <v>22403.85</v>
      </c>
      <c r="C680" s="10"/>
      <c r="D680" s="19">
        <f t="shared" si="225"/>
        <v>9.115755746059738E-3</v>
      </c>
    </row>
    <row r="681" spans="1:4" x14ac:dyDescent="0.35">
      <c r="A681" s="16">
        <v>45429</v>
      </c>
      <c r="B681" s="17">
        <v>22466.1</v>
      </c>
      <c r="C681" s="10"/>
      <c r="D681" s="19">
        <f t="shared" si="225"/>
        <v>2.7746872879504058E-3</v>
      </c>
    </row>
    <row r="682" spans="1:4" x14ac:dyDescent="0.35">
      <c r="A682" s="16">
        <v>45430</v>
      </c>
      <c r="B682" s="17">
        <v>22502</v>
      </c>
      <c r="C682" s="10"/>
      <c r="D682" s="19">
        <f t="shared" si="225"/>
        <v>1.5966877687512294E-3</v>
      </c>
    </row>
    <row r="683" spans="1:4" x14ac:dyDescent="0.35">
      <c r="A683" s="16">
        <v>45433</v>
      </c>
      <c r="B683" s="17">
        <v>22529.05</v>
      </c>
      <c r="C683" s="10"/>
      <c r="D683" s="19">
        <f t="shared" si="225"/>
        <v>1.2013934053743151E-3</v>
      </c>
    </row>
    <row r="684" spans="1:4" x14ac:dyDescent="0.35">
      <c r="A684" s="16">
        <v>45434</v>
      </c>
      <c r="B684" s="17">
        <v>22597.8</v>
      </c>
      <c r="C684" s="10"/>
      <c r="D684" s="19">
        <f t="shared" si="225"/>
        <v>3.0469688528972257E-3</v>
      </c>
    </row>
    <row r="685" spans="1:4" x14ac:dyDescent="0.35">
      <c r="A685" s="16">
        <v>45435</v>
      </c>
      <c r="B685" s="17">
        <v>22967.65</v>
      </c>
      <c r="C685" s="10"/>
      <c r="D685" s="19">
        <f t="shared" si="225"/>
        <v>1.6234147702677632E-2</v>
      </c>
    </row>
    <row r="686" spans="1:4" x14ac:dyDescent="0.35">
      <c r="A686" s="16">
        <v>45436</v>
      </c>
      <c r="B686" s="17">
        <v>22957.1</v>
      </c>
      <c r="C686" s="10"/>
      <c r="D686" s="19">
        <f t="shared" si="225"/>
        <v>-4.5944725602593643E-4</v>
      </c>
    </row>
    <row r="687" spans="1:4" x14ac:dyDescent="0.35">
      <c r="A687" s="16">
        <v>45439</v>
      </c>
      <c r="B687" s="17">
        <v>22932.45</v>
      </c>
      <c r="C687" s="10"/>
      <c r="D687" s="19">
        <f t="shared" si="225"/>
        <v>-1.0743187662915156E-3</v>
      </c>
    </row>
    <row r="688" spans="1:4" x14ac:dyDescent="0.35">
      <c r="A688" s="16">
        <v>45440</v>
      </c>
      <c r="B688" s="17">
        <v>22888.15</v>
      </c>
      <c r="C688" s="10"/>
      <c r="D688" s="19">
        <f t="shared" si="225"/>
        <v>-1.9336287086089532E-3</v>
      </c>
    </row>
    <row r="689" spans="1:4" x14ac:dyDescent="0.35">
      <c r="A689" s="16">
        <v>45441</v>
      </c>
      <c r="B689" s="17">
        <v>22704.7</v>
      </c>
      <c r="C689" s="10"/>
      <c r="D689" s="19">
        <f t="shared" si="225"/>
        <v>-8.0473578649701855E-3</v>
      </c>
    </row>
    <row r="690" spans="1:4" x14ac:dyDescent="0.35">
      <c r="A690" s="16">
        <v>45442</v>
      </c>
      <c r="B690" s="17">
        <v>22488.65</v>
      </c>
      <c r="C690" s="10"/>
      <c r="D690" s="19">
        <f t="shared" si="225"/>
        <v>-9.5612140229056203E-3</v>
      </c>
    </row>
    <row r="691" spans="1:4" x14ac:dyDescent="0.35">
      <c r="A691" s="16">
        <v>45443</v>
      </c>
      <c r="B691" s="17">
        <v>22530.7</v>
      </c>
      <c r="C691" s="10"/>
      <c r="D691" s="19">
        <f t="shared" si="225"/>
        <v>1.8680861553376123E-3</v>
      </c>
    </row>
    <row r="692" spans="1:4" x14ac:dyDescent="0.35">
      <c r="A692" s="16">
        <v>45446</v>
      </c>
      <c r="B692" s="17">
        <v>23263.9</v>
      </c>
      <c r="C692" s="10"/>
      <c r="D692" s="19">
        <f t="shared" si="225"/>
        <v>3.2023979208572827E-2</v>
      </c>
    </row>
    <row r="693" spans="1:4" x14ac:dyDescent="0.35">
      <c r="A693" s="16">
        <v>45447</v>
      </c>
      <c r="B693" s="17">
        <v>21884.5</v>
      </c>
      <c r="C693" s="10"/>
      <c r="D693" s="19">
        <f t="shared" si="225"/>
        <v>-6.1124179171720965E-2</v>
      </c>
    </row>
    <row r="694" spans="1:4" x14ac:dyDescent="0.35">
      <c r="A694" s="16">
        <v>45448</v>
      </c>
      <c r="B694" s="17">
        <v>22620.35</v>
      </c>
      <c r="C694" s="10"/>
      <c r="D694" s="19">
        <f t="shared" si="225"/>
        <v>3.3071319917765837E-2</v>
      </c>
    </row>
    <row r="695" spans="1:4" x14ac:dyDescent="0.35">
      <c r="A695" s="16">
        <v>45449</v>
      </c>
      <c r="B695" s="17">
        <v>22821.4</v>
      </c>
      <c r="C695" s="10"/>
      <c r="D695" s="19">
        <f t="shared" si="225"/>
        <v>8.8487486443831614E-3</v>
      </c>
    </row>
    <row r="696" spans="1:4" x14ac:dyDescent="0.35">
      <c r="A696" s="16">
        <v>45450</v>
      </c>
      <c r="B696" s="17">
        <v>23290.15</v>
      </c>
      <c r="C696" s="10"/>
      <c r="D696" s="19">
        <f t="shared" si="225"/>
        <v>2.0331832162561177E-2</v>
      </c>
    </row>
    <row r="697" spans="1:4" x14ac:dyDescent="0.35">
      <c r="A697" s="16">
        <v>45453</v>
      </c>
      <c r="B697" s="17">
        <v>23259.200000000001</v>
      </c>
      <c r="C697" s="10"/>
      <c r="D697" s="19">
        <f t="shared" si="225"/>
        <v>-1.3297717180034533E-3</v>
      </c>
    </row>
    <row r="698" spans="1:4" x14ac:dyDescent="0.35">
      <c r="A698" s="16">
        <v>45454</v>
      </c>
      <c r="B698" s="17">
        <v>23264.85</v>
      </c>
      <c r="C698" s="10"/>
      <c r="D698" s="19">
        <f t="shared" si="225"/>
        <v>2.4288513264755015E-4</v>
      </c>
    </row>
    <row r="699" spans="1:4" x14ac:dyDescent="0.35">
      <c r="A699" s="16">
        <v>45455</v>
      </c>
      <c r="B699" s="17">
        <v>23322.95</v>
      </c>
      <c r="C699" s="10"/>
      <c r="D699" s="19">
        <f t="shared" si="225"/>
        <v>2.4942165167948799E-3</v>
      </c>
    </row>
    <row r="700" spans="1:4" x14ac:dyDescent="0.35">
      <c r="A700" s="16">
        <v>45456</v>
      </c>
      <c r="B700" s="17">
        <v>23398.9</v>
      </c>
      <c r="C700" s="10"/>
      <c r="D700" s="19">
        <f t="shared" si="225"/>
        <v>3.2511583723450442E-3</v>
      </c>
    </row>
    <row r="701" spans="1:4" x14ac:dyDescent="0.35">
      <c r="A701" s="16">
        <v>45457</v>
      </c>
      <c r="B701" s="17">
        <v>23465.599999999999</v>
      </c>
      <c r="C701" s="10"/>
      <c r="D701" s="19">
        <f t="shared" si="225"/>
        <v>2.8465062056323236E-3</v>
      </c>
    </row>
    <row r="702" spans="1:4" x14ac:dyDescent="0.35">
      <c r="A702" s="16">
        <v>45461</v>
      </c>
      <c r="B702" s="17">
        <v>23557.9</v>
      </c>
      <c r="C702" s="10"/>
      <c r="D702" s="19">
        <f t="shared" si="225"/>
        <v>3.9257017677237702E-3</v>
      </c>
    </row>
    <row r="703" spans="1:4" x14ac:dyDescent="0.35">
      <c r="A703" s="16">
        <v>45462</v>
      </c>
      <c r="B703" s="17">
        <v>23516</v>
      </c>
      <c r="C703" s="10"/>
      <c r="D703" s="19">
        <f t="shared" si="225"/>
        <v>-1.7801801450586289E-3</v>
      </c>
    </row>
    <row r="704" spans="1:4" x14ac:dyDescent="0.35">
      <c r="A704" s="16">
        <v>45463</v>
      </c>
      <c r="B704" s="17">
        <v>23567</v>
      </c>
      <c r="C704" s="10"/>
      <c r="D704" s="19">
        <f t="shared" si="225"/>
        <v>2.1663878659495613E-3</v>
      </c>
    </row>
    <row r="705" spans="1:4" x14ac:dyDescent="0.35">
      <c r="A705" s="16">
        <v>45464</v>
      </c>
      <c r="B705" s="17">
        <v>23501.1</v>
      </c>
      <c r="C705" s="10"/>
      <c r="D705" s="19">
        <f t="shared" si="225"/>
        <v>-2.800199840690768E-3</v>
      </c>
    </row>
    <row r="706" spans="1:4" x14ac:dyDescent="0.35">
      <c r="A706" s="16">
        <v>45467</v>
      </c>
      <c r="B706" s="17">
        <v>23537.85</v>
      </c>
      <c r="C706" s="10"/>
      <c r="D706" s="19">
        <f t="shared" si="225"/>
        <v>1.5625351959234377E-3</v>
      </c>
    </row>
    <row r="707" spans="1:4" x14ac:dyDescent="0.35">
      <c r="A707" s="16">
        <v>45468</v>
      </c>
      <c r="B707" s="17">
        <v>23721.3</v>
      </c>
      <c r="C707" s="10"/>
      <c r="D707" s="19">
        <f t="shared" ref="D707:D770" si="226">LN(B707/B706)</f>
        <v>7.7636149373623573E-3</v>
      </c>
    </row>
    <row r="708" spans="1:4" x14ac:dyDescent="0.35">
      <c r="A708" s="16">
        <v>45469</v>
      </c>
      <c r="B708" s="17">
        <v>23868.799999999999</v>
      </c>
      <c r="C708" s="10"/>
      <c r="D708" s="19">
        <f t="shared" si="226"/>
        <v>6.1987880801539115E-3</v>
      </c>
    </row>
    <row r="709" spans="1:4" x14ac:dyDescent="0.35">
      <c r="A709" s="16">
        <v>45470</v>
      </c>
      <c r="B709" s="17">
        <v>24044.5</v>
      </c>
      <c r="C709" s="10"/>
      <c r="D709" s="19">
        <f t="shared" si="226"/>
        <v>7.3341133907751897E-3</v>
      </c>
    </row>
    <row r="710" spans="1:4" x14ac:dyDescent="0.35">
      <c r="A710" s="16">
        <v>45471</v>
      </c>
      <c r="B710" s="17">
        <v>24010.6</v>
      </c>
      <c r="C710" s="10"/>
      <c r="D710" s="19">
        <f t="shared" si="226"/>
        <v>-1.4108806608831069E-3</v>
      </c>
    </row>
    <row r="711" spans="1:4" x14ac:dyDescent="0.35">
      <c r="A711" s="16">
        <v>45474</v>
      </c>
      <c r="B711" s="17">
        <v>24141.95</v>
      </c>
      <c r="C711" s="10"/>
      <c r="D711" s="19">
        <f t="shared" si="226"/>
        <v>5.4555916887449258E-3</v>
      </c>
    </row>
    <row r="712" spans="1:4" x14ac:dyDescent="0.35">
      <c r="A712" s="16">
        <v>45475</v>
      </c>
      <c r="B712" s="17">
        <v>24123.85</v>
      </c>
      <c r="C712" s="10"/>
      <c r="D712" s="19">
        <f t="shared" si="226"/>
        <v>-7.5001350225091805E-4</v>
      </c>
    </row>
    <row r="713" spans="1:4" x14ac:dyDescent="0.35">
      <c r="A713" s="16">
        <v>45476</v>
      </c>
      <c r="B713" s="17">
        <v>24286.5</v>
      </c>
      <c r="C713" s="10"/>
      <c r="D713" s="19">
        <f t="shared" si="226"/>
        <v>6.7196627176867064E-3</v>
      </c>
    </row>
    <row r="714" spans="1:4" x14ac:dyDescent="0.35">
      <c r="A714" s="16">
        <v>45477</v>
      </c>
      <c r="B714" s="17">
        <v>24302.15</v>
      </c>
      <c r="C714" s="10"/>
      <c r="D714" s="19">
        <f t="shared" si="226"/>
        <v>6.4418338608693553E-4</v>
      </c>
    </row>
    <row r="715" spans="1:4" x14ac:dyDescent="0.35">
      <c r="A715" s="16">
        <v>45478</v>
      </c>
      <c r="B715" s="17">
        <v>24323.85</v>
      </c>
      <c r="C715" s="10"/>
      <c r="D715" s="19">
        <f t="shared" si="226"/>
        <v>8.9252669109216129E-4</v>
      </c>
    </row>
    <row r="716" spans="1:4" x14ac:dyDescent="0.35">
      <c r="A716" s="16">
        <v>45481</v>
      </c>
      <c r="B716" s="17">
        <v>24320.55</v>
      </c>
      <c r="C716" s="10"/>
      <c r="D716" s="19">
        <f t="shared" si="226"/>
        <v>-1.3567851613180805E-4</v>
      </c>
    </row>
    <row r="717" spans="1:4" x14ac:dyDescent="0.35">
      <c r="A717" s="16">
        <v>45482</v>
      </c>
      <c r="B717" s="17">
        <v>24433.200000000001</v>
      </c>
      <c r="C717" s="10"/>
      <c r="D717" s="19">
        <f t="shared" si="226"/>
        <v>4.621191209858602E-3</v>
      </c>
    </row>
    <row r="718" spans="1:4" x14ac:dyDescent="0.35">
      <c r="A718" s="16">
        <v>45483</v>
      </c>
      <c r="B718" s="17">
        <v>24324.45</v>
      </c>
      <c r="C718" s="10"/>
      <c r="D718" s="19">
        <f t="shared" si="226"/>
        <v>-4.4608458502798307E-3</v>
      </c>
    </row>
    <row r="719" spans="1:4" x14ac:dyDescent="0.35">
      <c r="A719" s="16">
        <v>45484</v>
      </c>
      <c r="B719" s="17">
        <v>24315.95</v>
      </c>
      <c r="C719" s="10"/>
      <c r="D719" s="19">
        <f t="shared" si="226"/>
        <v>-3.4950370829703764E-4</v>
      </c>
    </row>
    <row r="720" spans="1:4" x14ac:dyDescent="0.35">
      <c r="A720" s="16">
        <v>45485</v>
      </c>
      <c r="B720" s="17">
        <v>24502.15</v>
      </c>
      <c r="C720" s="10"/>
      <c r="D720" s="19">
        <f t="shared" si="226"/>
        <v>7.6283551773595644E-3</v>
      </c>
    </row>
    <row r="721" spans="1:4" x14ac:dyDescent="0.35">
      <c r="A721" s="16">
        <v>45488</v>
      </c>
      <c r="B721" s="17">
        <v>24586.7</v>
      </c>
      <c r="C721" s="10"/>
      <c r="D721" s="19">
        <f t="shared" si="226"/>
        <v>3.4447775252144188E-3</v>
      </c>
    </row>
    <row r="722" spans="1:4" x14ac:dyDescent="0.35">
      <c r="A722" s="16">
        <v>45489</v>
      </c>
      <c r="B722" s="17">
        <v>24613</v>
      </c>
      <c r="C722" s="10"/>
      <c r="D722" s="19">
        <f t="shared" si="226"/>
        <v>1.0691123118667994E-3</v>
      </c>
    </row>
    <row r="723" spans="1:4" x14ac:dyDescent="0.35">
      <c r="A723" s="16">
        <v>45491</v>
      </c>
      <c r="B723" s="17">
        <v>24800.85</v>
      </c>
      <c r="C723" s="10"/>
      <c r="D723" s="19">
        <f t="shared" si="226"/>
        <v>7.6031681375885599E-3</v>
      </c>
    </row>
    <row r="724" spans="1:4" x14ac:dyDescent="0.35">
      <c r="A724" s="16">
        <v>45492</v>
      </c>
      <c r="B724" s="17">
        <v>24530.9</v>
      </c>
      <c r="C724" s="10"/>
      <c r="D724" s="19">
        <f t="shared" si="226"/>
        <v>-1.0944379412161618E-2</v>
      </c>
    </row>
    <row r="725" spans="1:4" x14ac:dyDescent="0.35">
      <c r="A725" s="16">
        <v>45495</v>
      </c>
      <c r="B725" s="17">
        <v>24509.25</v>
      </c>
      <c r="C725" s="10"/>
      <c r="D725" s="19">
        <f t="shared" si="226"/>
        <v>-8.8295004833916055E-4</v>
      </c>
    </row>
    <row r="726" spans="1:4" x14ac:dyDescent="0.35">
      <c r="A726" s="16">
        <v>45496</v>
      </c>
      <c r="B726" s="17">
        <v>24479.05</v>
      </c>
      <c r="C726" s="10"/>
      <c r="D726" s="19">
        <f t="shared" si="226"/>
        <v>-1.2329476150728363E-3</v>
      </c>
    </row>
    <row r="727" spans="1:4" x14ac:dyDescent="0.35">
      <c r="A727" s="16">
        <v>45497</v>
      </c>
      <c r="B727" s="17">
        <v>24413.5</v>
      </c>
      <c r="C727" s="10"/>
      <c r="D727" s="19">
        <f t="shared" si="226"/>
        <v>-2.6813917161045081E-3</v>
      </c>
    </row>
    <row r="728" spans="1:4" x14ac:dyDescent="0.35">
      <c r="A728" s="16">
        <v>45498</v>
      </c>
      <c r="B728" s="17">
        <v>24406.1</v>
      </c>
      <c r="C728" s="10"/>
      <c r="D728" s="19">
        <f t="shared" si="226"/>
        <v>-3.0315693109630526E-4</v>
      </c>
    </row>
    <row r="729" spans="1:4" x14ac:dyDescent="0.35">
      <c r="A729" s="16">
        <v>45499</v>
      </c>
      <c r="B729" s="17">
        <v>24834.85</v>
      </c>
      <c r="C729" s="10"/>
      <c r="D729" s="19">
        <f t="shared" si="226"/>
        <v>1.7414807623613839E-2</v>
      </c>
    </row>
    <row r="730" spans="1:4" x14ac:dyDescent="0.35">
      <c r="A730" s="16">
        <v>45502</v>
      </c>
      <c r="B730" s="17">
        <v>24836.1</v>
      </c>
      <c r="C730" s="10"/>
      <c r="D730" s="19">
        <f t="shared" si="226"/>
        <v>5.0331229834195685E-5</v>
      </c>
    </row>
    <row r="731" spans="1:4" x14ac:dyDescent="0.35">
      <c r="A731" s="16">
        <v>45503</v>
      </c>
      <c r="B731" s="17">
        <v>24857.3</v>
      </c>
      <c r="C731" s="10"/>
      <c r="D731" s="19">
        <f t="shared" si="226"/>
        <v>8.5323207050211575E-4</v>
      </c>
    </row>
    <row r="732" spans="1:4" x14ac:dyDescent="0.35">
      <c r="A732" s="16">
        <v>45504</v>
      </c>
      <c r="B732" s="17">
        <v>24951.15</v>
      </c>
      <c r="C732" s="10"/>
      <c r="D732" s="19">
        <f t="shared" si="226"/>
        <v>3.7684413413710642E-3</v>
      </c>
    </row>
    <row r="733" spans="1:4" x14ac:dyDescent="0.35">
      <c r="A733" s="16">
        <v>45505</v>
      </c>
      <c r="B733" s="17">
        <v>25010.9</v>
      </c>
      <c r="C733" s="10"/>
      <c r="D733" s="19">
        <f t="shared" si="226"/>
        <v>2.3918165281347566E-3</v>
      </c>
    </row>
    <row r="734" spans="1:4" x14ac:dyDescent="0.35">
      <c r="A734" s="16">
        <v>45506</v>
      </c>
      <c r="B734" s="17">
        <v>24717.7</v>
      </c>
      <c r="C734" s="10"/>
      <c r="D734" s="19">
        <f t="shared" si="226"/>
        <v>-1.179214365820847E-2</v>
      </c>
    </row>
    <row r="735" spans="1:4" x14ac:dyDescent="0.35">
      <c r="A735" s="16">
        <v>45509</v>
      </c>
      <c r="B735" s="17">
        <v>24055.599999999999</v>
      </c>
      <c r="C735" s="10"/>
      <c r="D735" s="19">
        <f t="shared" si="226"/>
        <v>-2.7151768509934573E-2</v>
      </c>
    </row>
    <row r="736" spans="1:4" x14ac:dyDescent="0.35">
      <c r="A736" s="16">
        <v>45510</v>
      </c>
      <c r="B736" s="17">
        <v>23992.55</v>
      </c>
      <c r="C736" s="10"/>
      <c r="D736" s="19">
        <f t="shared" si="226"/>
        <v>-2.6244521876233645E-3</v>
      </c>
    </row>
    <row r="737" spans="1:4" x14ac:dyDescent="0.35">
      <c r="A737" s="16">
        <v>45511</v>
      </c>
      <c r="B737" s="17">
        <v>24297.5</v>
      </c>
      <c r="C737" s="10"/>
      <c r="D737" s="19">
        <f t="shared" si="226"/>
        <v>1.2630098903435905E-2</v>
      </c>
    </row>
    <row r="738" spans="1:4" x14ac:dyDescent="0.35">
      <c r="A738" s="16">
        <v>45512</v>
      </c>
      <c r="B738" s="17">
        <v>24117</v>
      </c>
      <c r="C738" s="10"/>
      <c r="D738" s="19">
        <f t="shared" si="226"/>
        <v>-7.4564783815551433E-3</v>
      </c>
    </row>
    <row r="739" spans="1:4" x14ac:dyDescent="0.35">
      <c r="A739" s="16">
        <v>45513</v>
      </c>
      <c r="B739" s="17">
        <v>24367.5</v>
      </c>
      <c r="C739" s="10"/>
      <c r="D739" s="19">
        <f t="shared" si="226"/>
        <v>1.0333291215294636E-2</v>
      </c>
    </row>
    <row r="740" spans="1:4" x14ac:dyDescent="0.35">
      <c r="A740" s="16">
        <v>45516</v>
      </c>
      <c r="B740" s="17">
        <v>24347</v>
      </c>
      <c r="C740" s="10"/>
      <c r="D740" s="19">
        <f t="shared" si="226"/>
        <v>-8.4163857619835045E-4</v>
      </c>
    </row>
    <row r="741" spans="1:4" x14ac:dyDescent="0.35">
      <c r="A741" s="16">
        <v>45517</v>
      </c>
      <c r="B741" s="17">
        <v>24139</v>
      </c>
      <c r="C741" s="10"/>
      <c r="D741" s="19">
        <f t="shared" si="226"/>
        <v>-8.5798488623965701E-3</v>
      </c>
    </row>
    <row r="742" spans="1:4" x14ac:dyDescent="0.35">
      <c r="A742" s="16">
        <v>45518</v>
      </c>
      <c r="B742" s="17">
        <v>24143.75</v>
      </c>
      <c r="C742" s="10"/>
      <c r="D742" s="19">
        <f t="shared" si="226"/>
        <v>1.967576418212346E-4</v>
      </c>
    </row>
    <row r="743" spans="1:4" x14ac:dyDescent="0.35">
      <c r="A743" s="16">
        <v>45520</v>
      </c>
      <c r="B743" s="17">
        <v>24541.15</v>
      </c>
      <c r="C743" s="10"/>
      <c r="D743" s="19">
        <f t="shared" si="226"/>
        <v>1.6325753017997963E-2</v>
      </c>
    </row>
    <row r="744" spans="1:4" x14ac:dyDescent="0.35">
      <c r="A744" s="16">
        <v>45523</v>
      </c>
      <c r="B744" s="17">
        <v>24572.65</v>
      </c>
      <c r="C744" s="10"/>
      <c r="D744" s="19">
        <f t="shared" si="226"/>
        <v>1.2827353745464452E-3</v>
      </c>
    </row>
    <row r="745" spans="1:4" x14ac:dyDescent="0.35">
      <c r="A745" s="16">
        <v>45524</v>
      </c>
      <c r="B745" s="17">
        <v>24698.85</v>
      </c>
      <c r="C745" s="10"/>
      <c r="D745" s="19">
        <f t="shared" si="226"/>
        <v>5.1226480205889434E-3</v>
      </c>
    </row>
    <row r="746" spans="1:4" x14ac:dyDescent="0.35">
      <c r="A746" s="16">
        <v>45525</v>
      </c>
      <c r="B746" s="17">
        <v>24770.2</v>
      </c>
      <c r="C746" s="10"/>
      <c r="D746" s="19">
        <f t="shared" si="226"/>
        <v>2.8846339064908873E-3</v>
      </c>
    </row>
    <row r="747" spans="1:4" x14ac:dyDescent="0.35">
      <c r="A747" s="16">
        <v>45526</v>
      </c>
      <c r="B747" s="17">
        <v>24811.5</v>
      </c>
      <c r="C747" s="10"/>
      <c r="D747" s="19">
        <f t="shared" si="226"/>
        <v>1.6659376161698191E-3</v>
      </c>
    </row>
    <row r="748" spans="1:4" x14ac:dyDescent="0.35">
      <c r="A748" s="16">
        <v>45527</v>
      </c>
      <c r="B748" s="17">
        <v>24823.15</v>
      </c>
      <c r="C748" s="10"/>
      <c r="D748" s="19">
        <f t="shared" si="226"/>
        <v>4.6943013455067465E-4</v>
      </c>
    </row>
    <row r="749" spans="1:4" x14ac:dyDescent="0.35">
      <c r="A749" s="16">
        <v>45530</v>
      </c>
      <c r="B749" s="17">
        <v>25010.6</v>
      </c>
      <c r="C749" s="10"/>
      <c r="D749" s="19">
        <f t="shared" si="226"/>
        <v>7.5230495028018388E-3</v>
      </c>
    </row>
    <row r="750" spans="1:4" x14ac:dyDescent="0.35">
      <c r="A750" s="16">
        <v>45531</v>
      </c>
      <c r="B750" s="17">
        <v>25017.75</v>
      </c>
      <c r="C750" s="10"/>
      <c r="D750" s="19">
        <f t="shared" si="226"/>
        <v>2.8583793184004246E-4</v>
      </c>
    </row>
    <row r="751" spans="1:4" x14ac:dyDescent="0.35">
      <c r="A751" s="16">
        <v>45532</v>
      </c>
      <c r="B751" s="17">
        <v>25052.35</v>
      </c>
      <c r="C751" s="10"/>
      <c r="D751" s="19">
        <f t="shared" si="226"/>
        <v>1.3820625685767348E-3</v>
      </c>
    </row>
    <row r="752" spans="1:4" x14ac:dyDescent="0.35">
      <c r="A752" s="16">
        <v>45533</v>
      </c>
      <c r="B752" s="17">
        <v>25151.95</v>
      </c>
      <c r="C752" s="10"/>
      <c r="D752" s="19">
        <f t="shared" si="226"/>
        <v>3.9677928253165316E-3</v>
      </c>
    </row>
    <row r="753" spans="1:4" x14ac:dyDescent="0.35">
      <c r="A753" s="16">
        <v>45534</v>
      </c>
      <c r="B753" s="17">
        <v>25235.9</v>
      </c>
      <c r="C753" s="10"/>
      <c r="D753" s="19">
        <f t="shared" si="226"/>
        <v>3.332155576256976E-3</v>
      </c>
    </row>
    <row r="754" spans="1:4" x14ac:dyDescent="0.35">
      <c r="A754" s="16">
        <v>45537</v>
      </c>
      <c r="B754" s="17">
        <v>25278.7</v>
      </c>
      <c r="C754" s="10"/>
      <c r="D754" s="19">
        <f t="shared" si="226"/>
        <v>1.6945599981708784E-3</v>
      </c>
    </row>
    <row r="755" spans="1:4" x14ac:dyDescent="0.35">
      <c r="A755" s="16">
        <v>45538</v>
      </c>
      <c r="B755" s="17">
        <v>25279.85</v>
      </c>
      <c r="C755" s="10"/>
      <c r="D755" s="19">
        <f t="shared" si="226"/>
        <v>4.5491810987265924E-5</v>
      </c>
    </row>
    <row r="756" spans="1:4" x14ac:dyDescent="0.35">
      <c r="A756" s="16">
        <v>45539</v>
      </c>
      <c r="B756" s="17">
        <v>25198.7</v>
      </c>
      <c r="C756" s="10"/>
      <c r="D756" s="19">
        <f t="shared" si="226"/>
        <v>-3.2152298316295127E-3</v>
      </c>
    </row>
    <row r="757" spans="1:4" x14ac:dyDescent="0.35">
      <c r="A757" s="16">
        <v>45540</v>
      </c>
      <c r="B757" s="17">
        <v>25145.1</v>
      </c>
      <c r="C757" s="10"/>
      <c r="D757" s="19">
        <f t="shared" si="226"/>
        <v>-2.1293593353156458E-3</v>
      </c>
    </row>
    <row r="758" spans="1:4" x14ac:dyDescent="0.35">
      <c r="A758" s="16">
        <v>45541</v>
      </c>
      <c r="B758" s="17">
        <v>24852.15</v>
      </c>
      <c r="C758" s="10"/>
      <c r="D758" s="19">
        <f t="shared" si="226"/>
        <v>-1.1718778635040884E-2</v>
      </c>
    </row>
    <row r="759" spans="1:4" x14ac:dyDescent="0.35">
      <c r="A759" s="16">
        <v>45544</v>
      </c>
      <c r="B759" s="17">
        <v>24936.400000000001</v>
      </c>
      <c r="C759" s="10"/>
      <c r="D759" s="19">
        <f t="shared" si="226"/>
        <v>3.3843154867430215E-3</v>
      </c>
    </row>
    <row r="760" spans="1:4" x14ac:dyDescent="0.35">
      <c r="A760" s="16">
        <v>45545</v>
      </c>
      <c r="B760" s="17">
        <v>25041.1</v>
      </c>
      <c r="C760" s="10"/>
      <c r="D760" s="19">
        <f t="shared" si="226"/>
        <v>4.1898915779699352E-3</v>
      </c>
    </row>
    <row r="761" spans="1:4" x14ac:dyDescent="0.35">
      <c r="A761" s="16">
        <v>45546</v>
      </c>
      <c r="B761" s="17">
        <v>24918.45</v>
      </c>
      <c r="C761" s="10"/>
      <c r="D761" s="19">
        <f t="shared" si="226"/>
        <v>-4.9099820315822162E-3</v>
      </c>
    </row>
    <row r="762" spans="1:4" x14ac:dyDescent="0.35">
      <c r="A762" s="16">
        <v>45547</v>
      </c>
      <c r="B762" s="17">
        <v>25388.9</v>
      </c>
      <c r="C762" s="10"/>
      <c r="D762" s="19">
        <f t="shared" si="226"/>
        <v>1.8703577686811725E-2</v>
      </c>
    </row>
    <row r="763" spans="1:4" x14ac:dyDescent="0.35">
      <c r="A763" s="16">
        <v>45548</v>
      </c>
      <c r="B763" s="17">
        <v>25356.5</v>
      </c>
      <c r="C763" s="10"/>
      <c r="D763" s="19">
        <f t="shared" si="226"/>
        <v>-1.2769632085949123E-3</v>
      </c>
    </row>
    <row r="764" spans="1:4" x14ac:dyDescent="0.35">
      <c r="A764" s="16">
        <v>45551</v>
      </c>
      <c r="B764" s="17">
        <v>25383.75</v>
      </c>
      <c r="C764" s="10"/>
      <c r="D764" s="19">
        <f t="shared" si="226"/>
        <v>1.0740980826790941E-3</v>
      </c>
    </row>
    <row r="765" spans="1:4" x14ac:dyDescent="0.35">
      <c r="A765" s="16">
        <v>45552</v>
      </c>
      <c r="B765" s="17">
        <v>25418.55</v>
      </c>
      <c r="C765" s="10"/>
      <c r="D765" s="19">
        <f t="shared" si="226"/>
        <v>1.3700169261289907E-3</v>
      </c>
    </row>
    <row r="766" spans="1:4" x14ac:dyDescent="0.35">
      <c r="A766" s="16">
        <v>45553</v>
      </c>
      <c r="B766" s="17">
        <v>25377.55</v>
      </c>
      <c r="C766" s="10"/>
      <c r="D766" s="19">
        <f t="shared" si="226"/>
        <v>-1.6142975111744227E-3</v>
      </c>
    </row>
    <row r="767" spans="1:4" x14ac:dyDescent="0.35">
      <c r="A767" s="16">
        <v>45554</v>
      </c>
      <c r="B767" s="17">
        <v>25415.8</v>
      </c>
      <c r="C767" s="10"/>
      <c r="D767" s="19">
        <f t="shared" si="226"/>
        <v>1.5061029536485916E-3</v>
      </c>
    </row>
    <row r="768" spans="1:4" x14ac:dyDescent="0.35">
      <c r="A768" s="16">
        <v>45555</v>
      </c>
      <c r="B768" s="17">
        <v>25790.95</v>
      </c>
      <c r="C768" s="10"/>
      <c r="D768" s="19">
        <f t="shared" si="226"/>
        <v>1.4652627320371103E-2</v>
      </c>
    </row>
    <row r="769" spans="1:4" x14ac:dyDescent="0.35">
      <c r="A769" s="16">
        <v>45558</v>
      </c>
      <c r="B769" s="17">
        <v>25939.05</v>
      </c>
      <c r="C769" s="10"/>
      <c r="D769" s="19">
        <f t="shared" si="226"/>
        <v>5.7259000437972149E-3</v>
      </c>
    </row>
    <row r="770" spans="1:4" x14ac:dyDescent="0.35">
      <c r="A770" s="16">
        <v>45559</v>
      </c>
      <c r="B770" s="17">
        <v>25940.400000000001</v>
      </c>
      <c r="C770" s="10"/>
      <c r="D770" s="19">
        <f t="shared" si="226"/>
        <v>5.2043728308821627E-5</v>
      </c>
    </row>
    <row r="771" spans="1:4" x14ac:dyDescent="0.35">
      <c r="A771" s="16">
        <v>45560</v>
      </c>
      <c r="B771" s="17">
        <v>26004.15</v>
      </c>
      <c r="C771" s="10"/>
      <c r="D771" s="19">
        <f t="shared" ref="D771:D834" si="227">LN(B771/B770)</f>
        <v>2.4545416990469533E-3</v>
      </c>
    </row>
    <row r="772" spans="1:4" x14ac:dyDescent="0.35">
      <c r="A772" s="16">
        <v>45561</v>
      </c>
      <c r="B772" s="17">
        <v>26216.05</v>
      </c>
      <c r="C772" s="10"/>
      <c r="D772" s="19">
        <f t="shared" si="227"/>
        <v>8.1156779580020509E-3</v>
      </c>
    </row>
    <row r="773" spans="1:4" x14ac:dyDescent="0.35">
      <c r="A773" s="16">
        <v>45562</v>
      </c>
      <c r="B773" s="17">
        <v>26178.95</v>
      </c>
      <c r="C773" s="10"/>
      <c r="D773" s="19">
        <f t="shared" si="227"/>
        <v>-1.4161659013423675E-3</v>
      </c>
    </row>
    <row r="774" spans="1:4" x14ac:dyDescent="0.35">
      <c r="A774" s="16">
        <v>45565</v>
      </c>
      <c r="B774" s="17">
        <v>25810.85</v>
      </c>
      <c r="C774" s="10"/>
      <c r="D774" s="19">
        <f t="shared" si="227"/>
        <v>-1.4160706565616464E-2</v>
      </c>
    </row>
    <row r="775" spans="1:4" x14ac:dyDescent="0.35">
      <c r="A775" s="16">
        <v>45566</v>
      </c>
      <c r="B775" s="17">
        <v>25796.9</v>
      </c>
      <c r="C775" s="10"/>
      <c r="D775" s="19">
        <f t="shared" si="227"/>
        <v>-5.4061649034323775E-4</v>
      </c>
    </row>
    <row r="776" spans="1:4" x14ac:dyDescent="0.35">
      <c r="A776" s="16">
        <v>45568</v>
      </c>
      <c r="B776" s="17">
        <v>25250.1</v>
      </c>
      <c r="C776" s="10"/>
      <c r="D776" s="19">
        <f t="shared" si="227"/>
        <v>-2.1424213560051142E-2</v>
      </c>
    </row>
    <row r="777" spans="1:4" x14ac:dyDescent="0.35">
      <c r="A777" s="16">
        <v>45569</v>
      </c>
      <c r="B777" s="17">
        <v>25014.6</v>
      </c>
      <c r="C777" s="10"/>
      <c r="D777" s="19">
        <f t="shared" si="227"/>
        <v>-9.3704617030021236E-3</v>
      </c>
    </row>
    <row r="778" spans="1:4" x14ac:dyDescent="0.35">
      <c r="A778" s="16">
        <v>45572</v>
      </c>
      <c r="B778" s="17">
        <v>24795.75</v>
      </c>
      <c r="C778" s="10"/>
      <c r="D778" s="19">
        <f t="shared" si="227"/>
        <v>-8.7873868890513806E-3</v>
      </c>
    </row>
    <row r="779" spans="1:4" x14ac:dyDescent="0.35">
      <c r="A779" s="16">
        <v>45573</v>
      </c>
      <c r="B779" s="17">
        <v>25013.15</v>
      </c>
      <c r="C779" s="10"/>
      <c r="D779" s="19">
        <f t="shared" si="227"/>
        <v>8.7294190611797214E-3</v>
      </c>
    </row>
    <row r="780" spans="1:4" x14ac:dyDescent="0.35">
      <c r="A780" s="16">
        <v>45574</v>
      </c>
      <c r="B780" s="17">
        <v>24981.95</v>
      </c>
      <c r="C780" s="10"/>
      <c r="D780" s="19">
        <f t="shared" si="227"/>
        <v>-1.2481224780150524E-3</v>
      </c>
    </row>
    <row r="781" spans="1:4" x14ac:dyDescent="0.35">
      <c r="A781" s="16">
        <v>45575</v>
      </c>
      <c r="B781" s="17">
        <v>24998.45</v>
      </c>
      <c r="C781" s="10"/>
      <c r="D781" s="19">
        <f t="shared" si="227"/>
        <v>6.6025884544412166E-4</v>
      </c>
    </row>
    <row r="782" spans="1:4" x14ac:dyDescent="0.35">
      <c r="A782" s="16">
        <v>45576</v>
      </c>
      <c r="B782" s="17">
        <v>24964.25</v>
      </c>
      <c r="C782" s="10"/>
      <c r="D782" s="19">
        <f t="shared" si="227"/>
        <v>-1.3690215037028451E-3</v>
      </c>
    </row>
    <row r="783" spans="1:4" x14ac:dyDescent="0.35">
      <c r="A783" s="16">
        <v>45579</v>
      </c>
      <c r="B783" s="17">
        <v>25127.95</v>
      </c>
      <c r="C783" s="10"/>
      <c r="D783" s="19">
        <f t="shared" si="227"/>
        <v>6.5359709797854493E-3</v>
      </c>
    </row>
    <row r="784" spans="1:4" x14ac:dyDescent="0.35">
      <c r="A784" s="16">
        <v>45580</v>
      </c>
      <c r="B784" s="17">
        <v>25057.35</v>
      </c>
      <c r="C784" s="10"/>
      <c r="D784" s="19">
        <f t="shared" si="227"/>
        <v>-2.8135747549046168E-3</v>
      </c>
    </row>
    <row r="785" spans="1:4" x14ac:dyDescent="0.35">
      <c r="A785" s="16">
        <v>45581</v>
      </c>
      <c r="B785" s="17">
        <v>24971.3</v>
      </c>
      <c r="C785" s="10"/>
      <c r="D785" s="19">
        <f t="shared" si="227"/>
        <v>-3.4400322558512829E-3</v>
      </c>
    </row>
    <row r="786" spans="1:4" x14ac:dyDescent="0.35">
      <c r="A786" s="16">
        <v>45582</v>
      </c>
      <c r="B786" s="17">
        <v>24749.85</v>
      </c>
      <c r="C786" s="10"/>
      <c r="D786" s="19">
        <f t="shared" si="227"/>
        <v>-8.9077370211750866E-3</v>
      </c>
    </row>
    <row r="787" spans="1:4" x14ac:dyDescent="0.35">
      <c r="A787" s="16">
        <v>45583</v>
      </c>
      <c r="B787" s="17">
        <v>24854.05</v>
      </c>
      <c r="C787" s="10"/>
      <c r="D787" s="19">
        <f t="shared" si="227"/>
        <v>4.2012887401181526E-3</v>
      </c>
    </row>
    <row r="788" spans="1:4" x14ac:dyDescent="0.35">
      <c r="A788" s="16">
        <v>45586</v>
      </c>
      <c r="B788" s="17">
        <v>24781.1</v>
      </c>
      <c r="C788" s="10"/>
      <c r="D788" s="19">
        <f t="shared" si="227"/>
        <v>-2.9394512770190822E-3</v>
      </c>
    </row>
    <row r="789" spans="1:4" x14ac:dyDescent="0.35">
      <c r="A789" s="16">
        <v>45587</v>
      </c>
      <c r="B789" s="17">
        <v>24472.1</v>
      </c>
      <c r="C789" s="10"/>
      <c r="D789" s="19">
        <f t="shared" si="227"/>
        <v>-1.2547572710405439E-2</v>
      </c>
    </row>
    <row r="790" spans="1:4" x14ac:dyDescent="0.35">
      <c r="A790" s="16">
        <v>45588</v>
      </c>
      <c r="B790" s="17">
        <v>24435.5</v>
      </c>
      <c r="C790" s="10"/>
      <c r="D790" s="19">
        <f t="shared" si="227"/>
        <v>-1.4967001787999864E-3</v>
      </c>
    </row>
    <row r="791" spans="1:4" x14ac:dyDescent="0.35">
      <c r="A791" s="16">
        <v>45589</v>
      </c>
      <c r="B791" s="17">
        <v>24399.4</v>
      </c>
      <c r="C791" s="10"/>
      <c r="D791" s="19">
        <f t="shared" si="227"/>
        <v>-1.4784511312879243E-3</v>
      </c>
    </row>
    <row r="792" spans="1:4" x14ac:dyDescent="0.35">
      <c r="A792" s="16">
        <v>45590</v>
      </c>
      <c r="B792" s="17">
        <v>24180.799999999999</v>
      </c>
      <c r="C792" s="10"/>
      <c r="D792" s="19">
        <f t="shared" si="227"/>
        <v>-8.999611999159645E-3</v>
      </c>
    </row>
    <row r="793" spans="1:4" x14ac:dyDescent="0.35">
      <c r="A793" s="16">
        <v>45593</v>
      </c>
      <c r="B793" s="17">
        <v>24339.15</v>
      </c>
      <c r="C793" s="10"/>
      <c r="D793" s="19">
        <f t="shared" si="227"/>
        <v>6.5272351766822402E-3</v>
      </c>
    </row>
    <row r="794" spans="1:4" x14ac:dyDescent="0.35">
      <c r="A794" s="16">
        <v>45594</v>
      </c>
      <c r="B794" s="17">
        <v>24466.85</v>
      </c>
      <c r="C794" s="10"/>
      <c r="D794" s="19">
        <f t="shared" si="227"/>
        <v>5.2329751018960107E-3</v>
      </c>
    </row>
    <row r="795" spans="1:4" x14ac:dyDescent="0.35">
      <c r="A795" s="16">
        <v>45595</v>
      </c>
      <c r="B795" s="17">
        <v>24340.85</v>
      </c>
      <c r="C795" s="10"/>
      <c r="D795" s="19">
        <f t="shared" si="227"/>
        <v>-5.1631312234782087E-3</v>
      </c>
    </row>
    <row r="796" spans="1:4" x14ac:dyDescent="0.35">
      <c r="A796" s="16">
        <v>45596</v>
      </c>
      <c r="B796" s="17">
        <v>24205.35</v>
      </c>
      <c r="C796" s="10"/>
      <c r="D796" s="19">
        <f t="shared" si="227"/>
        <v>-5.582325779352925E-3</v>
      </c>
    </row>
    <row r="797" spans="1:4" x14ac:dyDescent="0.35">
      <c r="A797" s="16">
        <v>45597</v>
      </c>
      <c r="B797" s="17">
        <v>24304.35</v>
      </c>
      <c r="C797" s="10"/>
      <c r="D797" s="19">
        <f t="shared" si="227"/>
        <v>4.0816635619174632E-3</v>
      </c>
    </row>
    <row r="798" spans="1:4" x14ac:dyDescent="0.35">
      <c r="A798" s="16">
        <v>45600</v>
      </c>
      <c r="B798" s="17">
        <v>23995.35</v>
      </c>
      <c r="C798" s="10"/>
      <c r="D798" s="19">
        <f t="shared" si="227"/>
        <v>-1.2795285095394087E-2</v>
      </c>
    </row>
    <row r="799" spans="1:4" x14ac:dyDescent="0.35">
      <c r="A799" s="16">
        <v>45601</v>
      </c>
      <c r="B799" s="17">
        <v>24213.3</v>
      </c>
      <c r="C799" s="10"/>
      <c r="D799" s="19">
        <f t="shared" si="227"/>
        <v>9.0420073960085362E-3</v>
      </c>
    </row>
    <row r="800" spans="1:4" x14ac:dyDescent="0.35">
      <c r="A800" s="16">
        <v>45602</v>
      </c>
      <c r="B800" s="17">
        <v>24484.05</v>
      </c>
      <c r="C800" s="10"/>
      <c r="D800" s="19">
        <f t="shared" si="227"/>
        <v>1.111981616471547E-2</v>
      </c>
    </row>
    <row r="801" spans="1:4" x14ac:dyDescent="0.35">
      <c r="A801" s="16">
        <v>45603</v>
      </c>
      <c r="B801" s="17">
        <v>24199.35</v>
      </c>
      <c r="C801" s="10"/>
      <c r="D801" s="19">
        <f t="shared" si="227"/>
        <v>-1.1696111838928169E-2</v>
      </c>
    </row>
    <row r="802" spans="1:4" x14ac:dyDescent="0.35">
      <c r="A802" s="16">
        <v>45604</v>
      </c>
      <c r="B802" s="17">
        <v>24148.2</v>
      </c>
      <c r="C802" s="10"/>
      <c r="D802" s="19">
        <f t="shared" si="227"/>
        <v>-2.115930138503043E-3</v>
      </c>
    </row>
    <row r="803" spans="1:4" x14ac:dyDescent="0.35">
      <c r="A803" s="16">
        <v>45607</v>
      </c>
      <c r="B803" s="17">
        <v>24141.3</v>
      </c>
      <c r="C803" s="10"/>
      <c r="D803" s="19">
        <f t="shared" si="227"/>
        <v>-2.8577641296602358E-4</v>
      </c>
    </row>
    <row r="804" spans="1:4" x14ac:dyDescent="0.35">
      <c r="A804" s="16">
        <v>45608</v>
      </c>
      <c r="B804" s="17">
        <v>23883.45</v>
      </c>
      <c r="C804" s="10"/>
      <c r="D804" s="19">
        <f t="shared" si="227"/>
        <v>-1.0738316295232621E-2</v>
      </c>
    </row>
    <row r="805" spans="1:4" x14ac:dyDescent="0.35">
      <c r="A805" s="16">
        <v>45609</v>
      </c>
      <c r="B805" s="17">
        <v>23559.05</v>
      </c>
      <c r="C805" s="10"/>
      <c r="D805" s="19">
        <f t="shared" si="227"/>
        <v>-1.367571506132014E-2</v>
      </c>
    </row>
    <row r="806" spans="1:4" x14ac:dyDescent="0.35">
      <c r="A806" s="16">
        <v>45610</v>
      </c>
      <c r="B806" s="17">
        <v>23532.7</v>
      </c>
      <c r="C806" s="10"/>
      <c r="D806" s="19">
        <f t="shared" si="227"/>
        <v>-1.1190921021192711E-3</v>
      </c>
    </row>
    <row r="807" spans="1:4" x14ac:dyDescent="0.35">
      <c r="A807" s="16">
        <v>45614</v>
      </c>
      <c r="B807" s="17">
        <v>23453.8</v>
      </c>
      <c r="C807" s="10"/>
      <c r="D807" s="19">
        <f t="shared" si="227"/>
        <v>-3.3584146152224673E-3</v>
      </c>
    </row>
    <row r="808" spans="1:4" x14ac:dyDescent="0.35">
      <c r="A808" s="16">
        <v>45615</v>
      </c>
      <c r="B808" s="17">
        <v>23518.5</v>
      </c>
      <c r="C808" s="10"/>
      <c r="D808" s="19">
        <f t="shared" si="227"/>
        <v>2.7548168140559032E-3</v>
      </c>
    </row>
    <row r="809" spans="1:4" x14ac:dyDescent="0.35">
      <c r="A809" s="16">
        <v>45617</v>
      </c>
      <c r="B809" s="17">
        <v>23349.9</v>
      </c>
      <c r="C809" s="10"/>
      <c r="D809" s="19">
        <f t="shared" si="227"/>
        <v>-7.1946440359882038E-3</v>
      </c>
    </row>
    <row r="810" spans="1:4" x14ac:dyDescent="0.35">
      <c r="A810" s="16">
        <v>45618</v>
      </c>
      <c r="B810" s="17">
        <v>23907.25</v>
      </c>
      <c r="C810" s="10"/>
      <c r="D810" s="19">
        <f t="shared" si="227"/>
        <v>2.3589058766826355E-2</v>
      </c>
    </row>
    <row r="811" spans="1:4" x14ac:dyDescent="0.35">
      <c r="A811" s="16">
        <v>45621</v>
      </c>
      <c r="B811" s="17">
        <v>24221.9</v>
      </c>
      <c r="C811" s="10"/>
      <c r="D811" s="19">
        <f t="shared" si="227"/>
        <v>1.307542239477766E-2</v>
      </c>
    </row>
    <row r="812" spans="1:4" x14ac:dyDescent="0.35">
      <c r="A812" s="16">
        <v>45622</v>
      </c>
      <c r="B812" s="17">
        <v>24194.5</v>
      </c>
      <c r="C812" s="10"/>
      <c r="D812" s="19">
        <f t="shared" si="227"/>
        <v>-1.1318480070857482E-3</v>
      </c>
    </row>
    <row r="813" spans="1:4" x14ac:dyDescent="0.35">
      <c r="A813" s="16">
        <v>45623</v>
      </c>
      <c r="B813" s="17">
        <v>24274.9</v>
      </c>
      <c r="C813" s="10"/>
      <c r="D813" s="19">
        <f t="shared" si="227"/>
        <v>3.3175600994260466E-3</v>
      </c>
    </row>
    <row r="814" spans="1:4" x14ac:dyDescent="0.35">
      <c r="A814" s="16">
        <v>45624</v>
      </c>
      <c r="B814" s="17">
        <v>23914.15</v>
      </c>
      <c r="C814" s="10"/>
      <c r="D814" s="19">
        <f t="shared" si="227"/>
        <v>-1.4972560750343969E-2</v>
      </c>
    </row>
    <row r="815" spans="1:4" x14ac:dyDescent="0.35">
      <c r="A815" s="16">
        <v>45625</v>
      </c>
      <c r="B815" s="17">
        <v>24131.1</v>
      </c>
      <c r="C815" s="10"/>
      <c r="D815" s="19">
        <f t="shared" si="227"/>
        <v>9.0311310507838367E-3</v>
      </c>
    </row>
    <row r="816" spans="1:4" x14ac:dyDescent="0.35">
      <c r="A816" s="16">
        <v>45628</v>
      </c>
      <c r="B816" s="17">
        <v>24276.05</v>
      </c>
      <c r="C816" s="10"/>
      <c r="D816" s="19">
        <f t="shared" si="227"/>
        <v>5.988802614002176E-3</v>
      </c>
    </row>
    <row r="817" spans="1:4" x14ac:dyDescent="0.35">
      <c r="A817" s="16">
        <v>45629</v>
      </c>
      <c r="B817" s="17">
        <v>24457.15</v>
      </c>
      <c r="C817" s="10"/>
      <c r="D817" s="19">
        <f t="shared" si="227"/>
        <v>7.4323390894845123E-3</v>
      </c>
    </row>
    <row r="818" spans="1:4" x14ac:dyDescent="0.35">
      <c r="A818" s="16">
        <v>45630</v>
      </c>
      <c r="B818" s="17">
        <v>24467.45</v>
      </c>
      <c r="C818" s="10"/>
      <c r="D818" s="19">
        <f t="shared" si="227"/>
        <v>4.2105608026115151E-4</v>
      </c>
    </row>
    <row r="819" spans="1:4" x14ac:dyDescent="0.35">
      <c r="A819" s="16">
        <v>45631</v>
      </c>
      <c r="B819" s="17">
        <v>24708.400000000001</v>
      </c>
      <c r="C819" s="10"/>
      <c r="D819" s="19">
        <f t="shared" si="227"/>
        <v>9.7996040025433873E-3</v>
      </c>
    </row>
    <row r="820" spans="1:4" x14ac:dyDescent="0.35">
      <c r="A820" s="16">
        <v>45632</v>
      </c>
      <c r="B820" s="17">
        <v>24677.8</v>
      </c>
      <c r="C820" s="10"/>
      <c r="D820" s="19">
        <f t="shared" si="227"/>
        <v>-1.2392127321359235E-3</v>
      </c>
    </row>
    <row r="821" spans="1:4" x14ac:dyDescent="0.35">
      <c r="A821" s="16">
        <v>45635</v>
      </c>
      <c r="B821" s="17">
        <v>24619</v>
      </c>
      <c r="C821" s="10"/>
      <c r="D821" s="19">
        <f t="shared" si="227"/>
        <v>-2.3855515118706054E-3</v>
      </c>
    </row>
    <row r="822" spans="1:4" x14ac:dyDescent="0.35">
      <c r="A822" s="16">
        <v>45636</v>
      </c>
      <c r="B822" s="17">
        <v>24610.05</v>
      </c>
      <c r="C822" s="10"/>
      <c r="D822" s="19">
        <f t="shared" si="227"/>
        <v>-3.6360645182499104E-4</v>
      </c>
    </row>
    <row r="823" spans="1:4" x14ac:dyDescent="0.35">
      <c r="A823" s="16">
        <v>45637</v>
      </c>
      <c r="B823" s="17">
        <v>24641.8</v>
      </c>
      <c r="C823" s="10"/>
      <c r="D823" s="19">
        <f t="shared" si="227"/>
        <v>1.2892918498735822E-3</v>
      </c>
    </row>
    <row r="824" spans="1:4" x14ac:dyDescent="0.35">
      <c r="A824" s="16">
        <v>45638</v>
      </c>
      <c r="B824" s="17">
        <v>24548.7</v>
      </c>
      <c r="C824" s="10"/>
      <c r="D824" s="19">
        <f t="shared" si="227"/>
        <v>-3.7852882635684751E-3</v>
      </c>
    </row>
    <row r="825" spans="1:4" x14ac:dyDescent="0.35">
      <c r="A825" s="16">
        <v>45639</v>
      </c>
      <c r="B825" s="17">
        <v>24768.3</v>
      </c>
      <c r="C825" s="10"/>
      <c r="D825" s="19">
        <f t="shared" si="227"/>
        <v>8.9057100554239786E-3</v>
      </c>
    </row>
    <row r="826" spans="1:4" x14ac:dyDescent="0.35">
      <c r="A826" s="16">
        <v>45642</v>
      </c>
      <c r="B826" s="17">
        <v>24668.25</v>
      </c>
      <c r="C826" s="10"/>
      <c r="D826" s="19">
        <f t="shared" si="227"/>
        <v>-4.0476180718514044E-3</v>
      </c>
    </row>
    <row r="827" spans="1:4" x14ac:dyDescent="0.35">
      <c r="A827" s="16">
        <v>45643</v>
      </c>
      <c r="B827" s="17">
        <v>24336</v>
      </c>
      <c r="C827" s="10"/>
      <c r="D827" s="19">
        <f t="shared" si="227"/>
        <v>-1.3560256148274351E-2</v>
      </c>
    </row>
    <row r="828" spans="1:4" x14ac:dyDescent="0.35">
      <c r="A828" s="16">
        <v>45644</v>
      </c>
      <c r="B828" s="17">
        <v>24198.85</v>
      </c>
      <c r="C828" s="10"/>
      <c r="D828" s="19">
        <f t="shared" si="227"/>
        <v>-5.6516241445957781E-3</v>
      </c>
    </row>
    <row r="829" spans="1:4" x14ac:dyDescent="0.35">
      <c r="A829" s="16">
        <v>45645</v>
      </c>
      <c r="B829" s="17">
        <v>23951.7</v>
      </c>
      <c r="C829" s="10"/>
      <c r="D829" s="19">
        <f t="shared" si="227"/>
        <v>-1.0265808823608006E-2</v>
      </c>
    </row>
    <row r="830" spans="1:4" x14ac:dyDescent="0.35">
      <c r="A830" s="16">
        <v>45646</v>
      </c>
      <c r="B830" s="17">
        <v>23587.5</v>
      </c>
      <c r="C830" s="10"/>
      <c r="D830" s="19">
        <f t="shared" si="227"/>
        <v>-1.5322391854064712E-2</v>
      </c>
    </row>
    <row r="831" spans="1:4" x14ac:dyDescent="0.35">
      <c r="A831" s="16">
        <v>45649</v>
      </c>
      <c r="B831" s="17">
        <v>23753.45</v>
      </c>
      <c r="C831" s="10"/>
      <c r="D831" s="19">
        <f t="shared" si="227"/>
        <v>7.0108723942055237E-3</v>
      </c>
    </row>
    <row r="832" spans="1:4" x14ac:dyDescent="0.35">
      <c r="A832" s="16">
        <v>45650</v>
      </c>
      <c r="B832" s="17">
        <v>23727.65</v>
      </c>
      <c r="C832" s="10"/>
      <c r="D832" s="19">
        <f t="shared" si="227"/>
        <v>-1.0867483078192092E-3</v>
      </c>
    </row>
    <row r="833" spans="1:4" x14ac:dyDescent="0.35">
      <c r="A833" s="16">
        <v>45652</v>
      </c>
      <c r="B833" s="17">
        <v>23750.2</v>
      </c>
      <c r="C833" s="10"/>
      <c r="D833" s="19">
        <f t="shared" si="227"/>
        <v>9.4991671677012402E-4</v>
      </c>
    </row>
    <row r="834" spans="1:4" x14ac:dyDescent="0.35">
      <c r="A834" s="16">
        <v>45653</v>
      </c>
      <c r="B834" s="17">
        <v>23813.4</v>
      </c>
      <c r="C834" s="10"/>
      <c r="D834" s="19">
        <f t="shared" si="227"/>
        <v>2.6574959504618452E-3</v>
      </c>
    </row>
    <row r="835" spans="1:4" x14ac:dyDescent="0.35">
      <c r="A835" s="16">
        <v>45656</v>
      </c>
      <c r="B835" s="17">
        <v>23644.9</v>
      </c>
      <c r="C835" s="10"/>
      <c r="D835" s="19">
        <f t="shared" ref="D835:D898" si="228">LN(B835/B834)</f>
        <v>-7.1010005853283714E-3</v>
      </c>
    </row>
    <row r="836" spans="1:4" x14ac:dyDescent="0.35">
      <c r="A836" s="16">
        <v>45657</v>
      </c>
      <c r="B836" s="17">
        <v>23644.799999999999</v>
      </c>
      <c r="C836" s="10"/>
      <c r="D836" s="19">
        <f t="shared" si="228"/>
        <v>-4.229250767129392E-6</v>
      </c>
    </row>
    <row r="837" spans="1:4" x14ac:dyDescent="0.35">
      <c r="A837" s="16">
        <v>45658</v>
      </c>
      <c r="B837" s="17">
        <v>23742.9</v>
      </c>
      <c r="C837" s="10"/>
      <c r="D837" s="19">
        <f t="shared" si="228"/>
        <v>4.1403208063656048E-3</v>
      </c>
    </row>
    <row r="838" spans="1:4" x14ac:dyDescent="0.35">
      <c r="A838" s="16">
        <v>45659</v>
      </c>
      <c r="B838" s="17">
        <v>24188.65</v>
      </c>
      <c r="C838" s="10"/>
      <c r="D838" s="19">
        <f t="shared" si="228"/>
        <v>1.8599976460843735E-2</v>
      </c>
    </row>
    <row r="839" spans="1:4" x14ac:dyDescent="0.35">
      <c r="A839" s="16">
        <v>45660</v>
      </c>
      <c r="B839" s="17">
        <v>24004.75</v>
      </c>
      <c r="C839" s="10"/>
      <c r="D839" s="19">
        <f t="shared" si="228"/>
        <v>-7.6317874477081537E-3</v>
      </c>
    </row>
    <row r="840" spans="1:4" x14ac:dyDescent="0.35">
      <c r="A840" s="16">
        <v>45663</v>
      </c>
      <c r="B840" s="17">
        <v>23616.05</v>
      </c>
      <c r="C840" s="10"/>
      <c r="D840" s="19">
        <f t="shared" si="228"/>
        <v>-1.6325161807199819E-2</v>
      </c>
    </row>
    <row r="841" spans="1:4" x14ac:dyDescent="0.35">
      <c r="A841" s="16">
        <v>45664</v>
      </c>
      <c r="B841" s="17">
        <v>23707.9</v>
      </c>
      <c r="C841" s="10"/>
      <c r="D841" s="19">
        <f t="shared" si="228"/>
        <v>3.8817603067130878E-3</v>
      </c>
    </row>
    <row r="842" spans="1:4" x14ac:dyDescent="0.35">
      <c r="A842" s="16">
        <v>45665</v>
      </c>
      <c r="B842" s="17">
        <v>23688.95</v>
      </c>
      <c r="C842" s="10"/>
      <c r="D842" s="19">
        <f t="shared" si="228"/>
        <v>-7.9963124172743882E-4</v>
      </c>
    </row>
    <row r="843" spans="1:4" x14ac:dyDescent="0.35">
      <c r="A843" s="16">
        <v>45666</v>
      </c>
      <c r="B843" s="17">
        <v>23526.5</v>
      </c>
      <c r="C843" s="10"/>
      <c r="D843" s="19">
        <f t="shared" si="228"/>
        <v>-6.8812492953755225E-3</v>
      </c>
    </row>
    <row r="844" spans="1:4" x14ac:dyDescent="0.35">
      <c r="A844" s="16">
        <v>45667</v>
      </c>
      <c r="B844" s="17">
        <v>23431.5</v>
      </c>
      <c r="C844" s="10"/>
      <c r="D844" s="19">
        <f t="shared" si="228"/>
        <v>-4.0461744370668276E-3</v>
      </c>
    </row>
    <row r="845" spans="1:4" x14ac:dyDescent="0.35">
      <c r="A845" s="16">
        <v>45670</v>
      </c>
      <c r="B845" s="17">
        <v>23085.95</v>
      </c>
      <c r="C845" s="10"/>
      <c r="D845" s="19">
        <f t="shared" si="228"/>
        <v>-1.4857063581440453E-2</v>
      </c>
    </row>
    <row r="846" spans="1:4" x14ac:dyDescent="0.35">
      <c r="A846" s="16">
        <v>45671</v>
      </c>
      <c r="B846" s="17">
        <v>23176.05</v>
      </c>
      <c r="C846" s="10"/>
      <c r="D846" s="19">
        <f t="shared" si="228"/>
        <v>3.8952104933376291E-3</v>
      </c>
    </row>
    <row r="847" spans="1:4" x14ac:dyDescent="0.35">
      <c r="A847" s="16">
        <v>45672</v>
      </c>
      <c r="B847" s="17">
        <v>23213.200000000001</v>
      </c>
      <c r="C847" s="10"/>
      <c r="D847" s="19">
        <f t="shared" si="228"/>
        <v>1.6016645210618786E-3</v>
      </c>
    </row>
    <row r="848" spans="1:4" x14ac:dyDescent="0.35">
      <c r="A848" s="16">
        <v>45673</v>
      </c>
      <c r="B848" s="17">
        <v>23311.8</v>
      </c>
      <c r="C848" s="10"/>
      <c r="D848" s="19">
        <f t="shared" si="228"/>
        <v>4.2385877535739327E-3</v>
      </c>
    </row>
    <row r="849" spans="1:4" x14ac:dyDescent="0.35">
      <c r="A849" s="16">
        <v>45674</v>
      </c>
      <c r="B849" s="17">
        <v>23203.200000000001</v>
      </c>
      <c r="C849" s="10"/>
      <c r="D849" s="19">
        <f t="shared" si="228"/>
        <v>-4.6694699484325849E-3</v>
      </c>
    </row>
    <row r="850" spans="1:4" x14ac:dyDescent="0.35">
      <c r="A850" s="16">
        <v>45677</v>
      </c>
      <c r="B850" s="17">
        <v>23344.75</v>
      </c>
      <c r="C850" s="10"/>
      <c r="D850" s="19">
        <f t="shared" si="228"/>
        <v>6.0819192391741118E-3</v>
      </c>
    </row>
    <row r="851" spans="1:4" x14ac:dyDescent="0.35">
      <c r="A851" s="16">
        <v>45678</v>
      </c>
      <c r="B851" s="17">
        <v>23024.65</v>
      </c>
      <c r="C851" s="10"/>
      <c r="D851" s="19">
        <f t="shared" si="228"/>
        <v>-1.3806738277095545E-2</v>
      </c>
    </row>
    <row r="852" spans="1:4" x14ac:dyDescent="0.35">
      <c r="A852" s="16">
        <v>45679</v>
      </c>
      <c r="B852" s="17">
        <v>23155.35</v>
      </c>
      <c r="C852" s="10"/>
      <c r="D852" s="19">
        <f t="shared" si="228"/>
        <v>5.6604741870661156E-3</v>
      </c>
    </row>
    <row r="853" spans="1:4" x14ac:dyDescent="0.35">
      <c r="A853" s="16">
        <v>45680</v>
      </c>
      <c r="B853" s="17">
        <v>23205.35</v>
      </c>
      <c r="C853" s="10"/>
      <c r="D853" s="19">
        <f t="shared" si="228"/>
        <v>2.1570001913706685E-3</v>
      </c>
    </row>
    <row r="854" spans="1:4" x14ac:dyDescent="0.35">
      <c r="A854" s="16">
        <v>45681</v>
      </c>
      <c r="B854" s="17">
        <v>23092.2</v>
      </c>
      <c r="C854" s="10"/>
      <c r="D854" s="19">
        <f t="shared" si="228"/>
        <v>-4.8879573663295961E-3</v>
      </c>
    </row>
    <row r="855" spans="1:4" x14ac:dyDescent="0.35">
      <c r="A855" s="16">
        <v>45684</v>
      </c>
      <c r="B855" s="17">
        <v>22829.15</v>
      </c>
      <c r="C855" s="10"/>
      <c r="D855" s="19">
        <f t="shared" si="228"/>
        <v>-1.1456670033394137E-2</v>
      </c>
    </row>
    <row r="856" spans="1:4" x14ac:dyDescent="0.35">
      <c r="A856" s="16">
        <v>45685</v>
      </c>
      <c r="B856" s="17">
        <v>22957.25</v>
      </c>
      <c r="C856" s="10"/>
      <c r="D856" s="19">
        <f t="shared" si="228"/>
        <v>5.5955626228530505E-3</v>
      </c>
    </row>
    <row r="857" spans="1:4" x14ac:dyDescent="0.35">
      <c r="A857" s="16">
        <v>45686</v>
      </c>
      <c r="B857" s="17">
        <v>23163.1</v>
      </c>
      <c r="C857" s="10"/>
      <c r="D857" s="19">
        <f t="shared" si="228"/>
        <v>8.9267044567532539E-3</v>
      </c>
    </row>
    <row r="858" spans="1:4" x14ac:dyDescent="0.35">
      <c r="A858" s="16">
        <v>45687</v>
      </c>
      <c r="B858" s="17">
        <v>23249.5</v>
      </c>
      <c r="C858" s="10"/>
      <c r="D858" s="19">
        <f t="shared" si="228"/>
        <v>3.7231312102430775E-3</v>
      </c>
    </row>
    <row r="859" spans="1:4" x14ac:dyDescent="0.35">
      <c r="A859" s="16">
        <v>45688</v>
      </c>
      <c r="B859" s="17">
        <v>23508.400000000001</v>
      </c>
      <c r="C859" s="10"/>
      <c r="D859" s="19">
        <f t="shared" si="228"/>
        <v>1.1074177663955638E-2</v>
      </c>
    </row>
    <row r="860" spans="1:4" x14ac:dyDescent="0.35">
      <c r="A860" s="16">
        <v>45689</v>
      </c>
      <c r="B860" s="17">
        <v>23482.15</v>
      </c>
      <c r="C860" s="10"/>
      <c r="D860" s="19">
        <f t="shared" si="228"/>
        <v>-1.1172460305538994E-3</v>
      </c>
    </row>
    <row r="861" spans="1:4" x14ac:dyDescent="0.35">
      <c r="A861" s="16">
        <v>45691</v>
      </c>
      <c r="B861" s="17">
        <v>23361.05</v>
      </c>
      <c r="C861" s="10"/>
      <c r="D861" s="19">
        <f t="shared" si="228"/>
        <v>-5.1704524791751734E-3</v>
      </c>
    </row>
    <row r="862" spans="1:4" x14ac:dyDescent="0.35">
      <c r="A862" s="16">
        <v>45692</v>
      </c>
      <c r="B862" s="17">
        <v>23739.25</v>
      </c>
      <c r="C862" s="10"/>
      <c r="D862" s="19">
        <f t="shared" si="228"/>
        <v>1.6059690853104273E-2</v>
      </c>
    </row>
    <row r="863" spans="1:4" x14ac:dyDescent="0.35">
      <c r="A863" s="16">
        <v>45693</v>
      </c>
      <c r="B863" s="17">
        <v>23696.3</v>
      </c>
      <c r="C863" s="10"/>
      <c r="D863" s="19">
        <f t="shared" si="228"/>
        <v>-1.8108786231885072E-3</v>
      </c>
    </row>
    <row r="864" spans="1:4" x14ac:dyDescent="0.35">
      <c r="A864" s="16">
        <v>45694</v>
      </c>
      <c r="B864" s="17">
        <v>23603.35</v>
      </c>
      <c r="C864" s="10"/>
      <c r="D864" s="19">
        <f t="shared" si="228"/>
        <v>-3.9302666996406553E-3</v>
      </c>
    </row>
    <row r="865" spans="1:4" x14ac:dyDescent="0.35">
      <c r="A865" s="16">
        <v>45695</v>
      </c>
      <c r="B865" s="17">
        <v>23559.95</v>
      </c>
      <c r="C865" s="10"/>
      <c r="D865" s="19">
        <f t="shared" si="228"/>
        <v>-1.8404145702315485E-3</v>
      </c>
    </row>
    <row r="866" spans="1:4" x14ac:dyDescent="0.35">
      <c r="A866" s="16">
        <v>45698</v>
      </c>
      <c r="B866" s="17">
        <v>23381.599999999999</v>
      </c>
      <c r="C866" s="10"/>
      <c r="D866" s="19">
        <f t="shared" si="228"/>
        <v>-7.598848278210316E-3</v>
      </c>
    </row>
    <row r="867" spans="1:4" x14ac:dyDescent="0.35">
      <c r="A867" s="16">
        <v>45699</v>
      </c>
      <c r="B867" s="17">
        <v>23071.8</v>
      </c>
      <c r="C867" s="10"/>
      <c r="D867" s="19">
        <f t="shared" si="228"/>
        <v>-1.3338295712820561E-2</v>
      </c>
    </row>
    <row r="868" spans="1:4" x14ac:dyDescent="0.35">
      <c r="A868" s="16">
        <v>45700</v>
      </c>
      <c r="B868" s="17">
        <v>23045.25</v>
      </c>
      <c r="C868" s="10"/>
      <c r="D868" s="19">
        <f t="shared" si="228"/>
        <v>-1.1514180951839536E-3</v>
      </c>
    </row>
    <row r="869" spans="1:4" x14ac:dyDescent="0.35">
      <c r="A869" s="16">
        <v>45701</v>
      </c>
      <c r="B869" s="17">
        <v>23031.4</v>
      </c>
      <c r="C869" s="10"/>
      <c r="D869" s="19">
        <f t="shared" si="228"/>
        <v>-6.0117219533637628E-4</v>
      </c>
    </row>
    <row r="870" spans="1:4" x14ac:dyDescent="0.35">
      <c r="A870" s="16">
        <v>45702</v>
      </c>
      <c r="B870" s="17">
        <v>22929.25</v>
      </c>
      <c r="C870" s="10"/>
      <c r="D870" s="19">
        <f t="shared" si="228"/>
        <v>-4.4451141660866375E-3</v>
      </c>
    </row>
    <row r="871" spans="1:4" x14ac:dyDescent="0.35">
      <c r="A871" s="16">
        <v>45705</v>
      </c>
      <c r="B871" s="17">
        <v>22959.5</v>
      </c>
      <c r="C871" s="10"/>
      <c r="D871" s="19">
        <f t="shared" si="228"/>
        <v>1.318406118349223E-3</v>
      </c>
    </row>
    <row r="872" spans="1:4" x14ac:dyDescent="0.35">
      <c r="A872" s="16">
        <v>45706</v>
      </c>
      <c r="B872" s="17">
        <v>22945.3</v>
      </c>
      <c r="C872" s="10"/>
      <c r="D872" s="19">
        <f t="shared" si="228"/>
        <v>-6.1867170548291742E-4</v>
      </c>
    </row>
    <row r="873" spans="1:4" x14ac:dyDescent="0.35">
      <c r="A873" s="16">
        <v>45707</v>
      </c>
      <c r="B873" s="17">
        <v>22932.9</v>
      </c>
      <c r="C873" s="10"/>
      <c r="D873" s="19">
        <f t="shared" si="228"/>
        <v>-5.4056176144420191E-4</v>
      </c>
    </row>
    <row r="874" spans="1:4" x14ac:dyDescent="0.35">
      <c r="A874" s="16">
        <v>45708</v>
      </c>
      <c r="B874" s="17">
        <v>22913.15</v>
      </c>
      <c r="C874" s="10"/>
      <c r="D874" s="19">
        <f t="shared" si="228"/>
        <v>-8.615791860687675E-4</v>
      </c>
    </row>
    <row r="875" spans="1:4" x14ac:dyDescent="0.35">
      <c r="A875" s="16">
        <v>45709</v>
      </c>
      <c r="B875" s="17">
        <v>22795.9</v>
      </c>
      <c r="C875" s="10"/>
      <c r="D875" s="19">
        <f t="shared" si="228"/>
        <v>-5.1302863291465021E-3</v>
      </c>
    </row>
    <row r="876" spans="1:4" x14ac:dyDescent="0.35">
      <c r="A876" s="16">
        <v>45712</v>
      </c>
      <c r="B876" s="17">
        <v>22553.35</v>
      </c>
      <c r="C876" s="10"/>
      <c r="D876" s="19">
        <f t="shared" si="228"/>
        <v>-1.069708155537406E-2</v>
      </c>
    </row>
    <row r="877" spans="1:4" x14ac:dyDescent="0.35">
      <c r="A877" s="16">
        <v>45713</v>
      </c>
      <c r="B877" s="17">
        <v>22547.55</v>
      </c>
      <c r="C877" s="10"/>
      <c r="D877" s="19">
        <f t="shared" si="228"/>
        <v>-2.5720107722782741E-4</v>
      </c>
    </row>
    <row r="878" spans="1:4" x14ac:dyDescent="0.35">
      <c r="A878" s="16">
        <v>45715</v>
      </c>
      <c r="B878" s="17">
        <v>22545.05</v>
      </c>
      <c r="C878" s="10"/>
      <c r="D878" s="19">
        <f t="shared" si="228"/>
        <v>-1.108829387776427E-4</v>
      </c>
    </row>
    <row r="879" spans="1:4" x14ac:dyDescent="0.35">
      <c r="A879" s="16">
        <v>45716</v>
      </c>
      <c r="B879" s="17">
        <v>22124.7</v>
      </c>
      <c r="C879" s="10"/>
      <c r="D879" s="19">
        <f t="shared" si="228"/>
        <v>-1.8820898177206152E-2</v>
      </c>
    </row>
    <row r="880" spans="1:4" x14ac:dyDescent="0.35">
      <c r="A880" s="16">
        <v>45719</v>
      </c>
      <c r="B880" s="17">
        <v>22119.3</v>
      </c>
      <c r="C880" s="10"/>
      <c r="D880" s="19">
        <f t="shared" si="228"/>
        <v>-2.4410089624874701E-4</v>
      </c>
    </row>
    <row r="881" spans="1:4" x14ac:dyDescent="0.35">
      <c r="A881" s="16">
        <v>45720</v>
      </c>
      <c r="B881" s="17">
        <v>22082.65</v>
      </c>
      <c r="C881" s="10"/>
      <c r="D881" s="19">
        <f t="shared" si="228"/>
        <v>-1.6582982605433554E-3</v>
      </c>
    </row>
    <row r="882" spans="1:4" x14ac:dyDescent="0.35">
      <c r="A882" s="16">
        <v>45721</v>
      </c>
      <c r="B882" s="17">
        <v>22337.3</v>
      </c>
      <c r="C882" s="10"/>
      <c r="D882" s="19">
        <f t="shared" si="228"/>
        <v>1.1465694568782813E-2</v>
      </c>
    </row>
    <row r="883" spans="1:4" x14ac:dyDescent="0.35">
      <c r="A883" s="16">
        <v>45722</v>
      </c>
      <c r="B883" s="17">
        <v>22544.7</v>
      </c>
      <c r="C883" s="10"/>
      <c r="D883" s="19">
        <f t="shared" si="228"/>
        <v>9.2420781725971422E-3</v>
      </c>
    </row>
    <row r="884" spans="1:4" x14ac:dyDescent="0.35">
      <c r="A884" s="16">
        <v>45723</v>
      </c>
      <c r="B884" s="17">
        <v>22552.5</v>
      </c>
      <c r="C884" s="10"/>
      <c r="D884" s="19">
        <f t="shared" si="228"/>
        <v>3.4591948403792664E-4</v>
      </c>
    </row>
    <row r="885" spans="1:4" x14ac:dyDescent="0.35">
      <c r="A885" s="16">
        <v>45726</v>
      </c>
      <c r="B885" s="17">
        <v>22460.3</v>
      </c>
      <c r="C885" s="10"/>
      <c r="D885" s="19">
        <f t="shared" si="228"/>
        <v>-4.0966182483126905E-3</v>
      </c>
    </row>
    <row r="886" spans="1:4" x14ac:dyDescent="0.35">
      <c r="A886" s="16">
        <v>45727</v>
      </c>
      <c r="B886" s="17">
        <v>22497.9</v>
      </c>
      <c r="C886" s="10"/>
      <c r="D886" s="19">
        <f t="shared" si="228"/>
        <v>1.6726652208703832E-3</v>
      </c>
    </row>
    <row r="887" spans="1:4" x14ac:dyDescent="0.35">
      <c r="A887" s="16">
        <v>45728</v>
      </c>
      <c r="B887" s="17">
        <v>22470.5</v>
      </c>
      <c r="C887" s="10"/>
      <c r="D887" s="19">
        <f t="shared" si="228"/>
        <v>-1.2186336801356743E-3</v>
      </c>
    </row>
    <row r="888" spans="1:4" x14ac:dyDescent="0.35">
      <c r="A888" s="16">
        <v>45729</v>
      </c>
      <c r="B888" s="17">
        <v>22397.200000000001</v>
      </c>
      <c r="C888" s="10"/>
      <c r="D888" s="19">
        <f t="shared" si="228"/>
        <v>-3.2673867932358361E-3</v>
      </c>
    </row>
    <row r="889" spans="1:4" x14ac:dyDescent="0.35">
      <c r="A889" s="16">
        <v>45733</v>
      </c>
      <c r="B889" s="17">
        <v>22508.75</v>
      </c>
      <c r="C889" s="10"/>
      <c r="D889" s="19">
        <f t="shared" si="228"/>
        <v>4.9681714537350846E-3</v>
      </c>
    </row>
    <row r="890" spans="1:4" x14ac:dyDescent="0.35">
      <c r="A890" s="16">
        <v>45734</v>
      </c>
      <c r="B890" s="17">
        <v>22834.3</v>
      </c>
      <c r="C890" s="10"/>
      <c r="D890" s="19">
        <f t="shared" si="228"/>
        <v>1.4359668968781786E-2</v>
      </c>
    </row>
    <row r="891" spans="1:4" x14ac:dyDescent="0.35">
      <c r="A891" s="16">
        <v>45735</v>
      </c>
      <c r="B891" s="17">
        <v>22907.599999999999</v>
      </c>
      <c r="C891" s="10"/>
      <c r="D891" s="19">
        <f t="shared" si="228"/>
        <v>3.2049417598595076E-3</v>
      </c>
    </row>
    <row r="892" spans="1:4" x14ac:dyDescent="0.35">
      <c r="A892" s="16">
        <v>45736</v>
      </c>
      <c r="B892" s="17">
        <v>23190.65</v>
      </c>
      <c r="C892" s="10"/>
      <c r="D892" s="19">
        <f t="shared" si="228"/>
        <v>1.228044696739064E-2</v>
      </c>
    </row>
    <row r="893" spans="1:4" x14ac:dyDescent="0.35">
      <c r="A893" s="16">
        <v>45737</v>
      </c>
      <c r="B893" s="17">
        <v>23350.400000000001</v>
      </c>
      <c r="C893" s="10"/>
      <c r="D893" s="19">
        <f t="shared" si="228"/>
        <v>6.8649343915537933E-3</v>
      </c>
    </row>
    <row r="894" spans="1:4" x14ac:dyDescent="0.35">
      <c r="A894" s="16">
        <v>45740</v>
      </c>
      <c r="B894" s="17">
        <v>23658.35</v>
      </c>
      <c r="C894" s="10"/>
      <c r="D894" s="19">
        <f t="shared" si="228"/>
        <v>1.310200357491904E-2</v>
      </c>
    </row>
    <row r="895" spans="1:4" x14ac:dyDescent="0.35">
      <c r="A895" s="16">
        <v>45741</v>
      </c>
      <c r="B895" s="17">
        <v>23668.65</v>
      </c>
      <c r="C895" s="10"/>
      <c r="D895" s="19">
        <f t="shared" si="228"/>
        <v>4.3526951476421065E-4</v>
      </c>
    </row>
    <row r="896" spans="1:4" x14ac:dyDescent="0.35">
      <c r="A896" s="16">
        <v>45742</v>
      </c>
      <c r="B896" s="17">
        <v>23486.85</v>
      </c>
      <c r="C896" s="10"/>
      <c r="D896" s="19">
        <f t="shared" si="228"/>
        <v>-7.710697617041672E-3</v>
      </c>
    </row>
    <row r="897" spans="1:4" x14ac:dyDescent="0.35">
      <c r="A897" s="16">
        <v>45743</v>
      </c>
      <c r="B897" s="17">
        <v>23591.95</v>
      </c>
      <c r="C897" s="10"/>
      <c r="D897" s="19">
        <f t="shared" si="228"/>
        <v>4.4648620864278519E-3</v>
      </c>
    </row>
    <row r="898" spans="1:4" x14ac:dyDescent="0.35">
      <c r="A898" s="16">
        <v>45744</v>
      </c>
      <c r="B898" s="17">
        <v>23519.35</v>
      </c>
      <c r="C898" s="10"/>
      <c r="D898" s="19">
        <f t="shared" si="228"/>
        <v>-3.0820655541120134E-3</v>
      </c>
    </row>
    <row r="899" spans="1:4" x14ac:dyDescent="0.35">
      <c r="A899" s="16">
        <v>45748</v>
      </c>
      <c r="B899" s="17">
        <v>23165.7</v>
      </c>
      <c r="C899" s="10"/>
      <c r="D899" s="19">
        <f t="shared" ref="D899:D962" si="229">LN(B899/B898)</f>
        <v>-1.5150750180769317E-2</v>
      </c>
    </row>
    <row r="900" spans="1:4" x14ac:dyDescent="0.35">
      <c r="A900" s="16">
        <v>45749</v>
      </c>
      <c r="B900" s="17">
        <v>23332.35</v>
      </c>
      <c r="C900" s="10"/>
      <c r="D900" s="19">
        <f t="shared" si="229"/>
        <v>7.1680732227189349E-3</v>
      </c>
    </row>
    <row r="901" spans="1:4" x14ac:dyDescent="0.35">
      <c r="A901" s="16">
        <v>45750</v>
      </c>
      <c r="B901" s="17">
        <v>23250.1</v>
      </c>
      <c r="C901" s="10"/>
      <c r="D901" s="19">
        <f t="shared" si="229"/>
        <v>-3.5313765366867989E-3</v>
      </c>
    </row>
    <row r="902" spans="1:4" x14ac:dyDescent="0.35">
      <c r="A902" s="16">
        <v>45751</v>
      </c>
      <c r="B902" s="17">
        <v>22904.45</v>
      </c>
      <c r="C902" s="10"/>
      <c r="D902" s="19">
        <f t="shared" si="229"/>
        <v>-1.4978218273382259E-2</v>
      </c>
    </row>
    <row r="903" spans="1:4" x14ac:dyDescent="0.35">
      <c r="A903" s="16">
        <v>45754</v>
      </c>
      <c r="B903" s="17">
        <v>22161.599999999999</v>
      </c>
      <c r="C903" s="10"/>
      <c r="D903" s="19">
        <f t="shared" si="229"/>
        <v>-3.2970153387305259E-2</v>
      </c>
    </row>
    <row r="904" spans="1:4" x14ac:dyDescent="0.35">
      <c r="A904" s="16">
        <v>45755</v>
      </c>
      <c r="B904" s="17">
        <v>22535.85</v>
      </c>
      <c r="C904" s="10"/>
      <c r="D904" s="19">
        <f t="shared" si="229"/>
        <v>1.6746313096183522E-2</v>
      </c>
    </row>
    <row r="905" spans="1:4" x14ac:dyDescent="0.35">
      <c r="A905" s="16">
        <v>45756</v>
      </c>
      <c r="B905" s="17">
        <v>22399.15</v>
      </c>
      <c r="C905" s="10"/>
      <c r="D905" s="19">
        <f t="shared" si="229"/>
        <v>-6.0843628224417504E-3</v>
      </c>
    </row>
    <row r="906" spans="1:4" x14ac:dyDescent="0.35">
      <c r="A906" s="16">
        <v>45758</v>
      </c>
      <c r="B906" s="17">
        <v>22828.55</v>
      </c>
      <c r="C906" s="10"/>
      <c r="D906" s="19">
        <f t="shared" si="229"/>
        <v>1.8988933890639957E-2</v>
      </c>
    </row>
    <row r="907" spans="1:4" x14ac:dyDescent="0.35">
      <c r="A907" s="16">
        <v>45762</v>
      </c>
      <c r="B907" s="17">
        <v>23328.55</v>
      </c>
      <c r="C907" s="10"/>
      <c r="D907" s="19">
        <f t="shared" si="229"/>
        <v>2.16659867627985E-2</v>
      </c>
    </row>
    <row r="908" spans="1:4" x14ac:dyDescent="0.35">
      <c r="A908" s="16">
        <v>45763</v>
      </c>
      <c r="B908" s="17">
        <v>23437.200000000001</v>
      </c>
      <c r="C908" s="10"/>
      <c r="D908" s="19">
        <f t="shared" si="229"/>
        <v>4.6465712828317922E-3</v>
      </c>
    </row>
    <row r="909" spans="1:4" x14ac:dyDescent="0.35">
      <c r="A909" s="16">
        <v>45764</v>
      </c>
      <c r="B909" s="17">
        <v>23851.65</v>
      </c>
      <c r="C909" s="10"/>
      <c r="D909" s="19">
        <f t="shared" si="229"/>
        <v>1.7528893682587383E-2</v>
      </c>
    </row>
    <row r="910" spans="1:4" x14ac:dyDescent="0.35">
      <c r="A910" s="16">
        <v>45768</v>
      </c>
      <c r="B910" s="17">
        <v>24125.55</v>
      </c>
      <c r="C910" s="10"/>
      <c r="D910" s="19">
        <f t="shared" si="229"/>
        <v>1.1418047561345738E-2</v>
      </c>
    </row>
    <row r="911" spans="1:4" x14ac:dyDescent="0.35">
      <c r="A911" s="16">
        <v>45769</v>
      </c>
      <c r="B911" s="17">
        <v>24167.25</v>
      </c>
      <c r="C911" s="10"/>
      <c r="D911" s="19">
        <f t="shared" si="229"/>
        <v>1.726965939596701E-3</v>
      </c>
    </row>
    <row r="912" spans="1:4" x14ac:dyDescent="0.35">
      <c r="A912" s="16">
        <v>45770</v>
      </c>
      <c r="B912" s="17">
        <v>24328.95</v>
      </c>
      <c r="C912" s="10"/>
      <c r="D912" s="19">
        <f t="shared" si="229"/>
        <v>6.6685884351257562E-3</v>
      </c>
    </row>
    <row r="913" spans="1:4" x14ac:dyDescent="0.35">
      <c r="A913" s="16">
        <v>45771</v>
      </c>
      <c r="B913" s="17">
        <v>24246.7</v>
      </c>
      <c r="C913" s="10"/>
      <c r="D913" s="19">
        <f t="shared" si="229"/>
        <v>-3.386473618159028E-3</v>
      </c>
    </row>
    <row r="914" spans="1:4" x14ac:dyDescent="0.35">
      <c r="A914" s="16">
        <v>45772</v>
      </c>
      <c r="B914" s="17">
        <v>24039.35</v>
      </c>
      <c r="C914" s="10"/>
      <c r="D914" s="19">
        <f t="shared" si="229"/>
        <v>-8.588454617289994E-3</v>
      </c>
    </row>
    <row r="915" spans="1:4" x14ac:dyDescent="0.35">
      <c r="A915" s="16">
        <v>45775</v>
      </c>
      <c r="B915" s="17">
        <v>24328.5</v>
      </c>
      <c r="C915" s="10"/>
      <c r="D915" s="19">
        <f t="shared" si="229"/>
        <v>1.1956431581801425E-2</v>
      </c>
    </row>
    <row r="916" spans="1:4" x14ac:dyDescent="0.35">
      <c r="A916" s="16">
        <v>45776</v>
      </c>
      <c r="B916" s="17">
        <v>24335.95</v>
      </c>
      <c r="C916" s="10"/>
      <c r="D916" s="19">
        <f t="shared" si="229"/>
        <v>3.0617833174725629E-4</v>
      </c>
    </row>
    <row r="917" spans="1:4" x14ac:dyDescent="0.35">
      <c r="A917" s="16">
        <v>45777</v>
      </c>
      <c r="B917" s="17">
        <v>24334.2</v>
      </c>
      <c r="C917" s="10"/>
      <c r="D917" s="19">
        <f t="shared" si="229"/>
        <v>-7.1912661076828911E-5</v>
      </c>
    </row>
    <row r="918" spans="1:4" x14ac:dyDescent="0.35">
      <c r="A918" s="16">
        <v>45779</v>
      </c>
      <c r="B918" s="17">
        <v>24346.7</v>
      </c>
      <c r="C918" s="10"/>
      <c r="D918" s="19">
        <f t="shared" si="229"/>
        <v>5.1354844609369319E-4</v>
      </c>
    </row>
    <row r="919" spans="1:4" x14ac:dyDescent="0.35">
      <c r="A919" s="16">
        <v>45782</v>
      </c>
      <c r="B919" s="17">
        <v>24461.15</v>
      </c>
      <c r="C919" s="10"/>
      <c r="D919" s="19">
        <f t="shared" si="229"/>
        <v>4.6898279589179014E-3</v>
      </c>
    </row>
    <row r="920" spans="1:4" x14ac:dyDescent="0.35">
      <c r="A920" s="16">
        <v>45783</v>
      </c>
      <c r="B920" s="17">
        <v>24379.599999999999</v>
      </c>
      <c r="C920" s="10"/>
      <c r="D920" s="19">
        <f t="shared" si="229"/>
        <v>-3.3394276617622325E-3</v>
      </c>
    </row>
    <row r="921" spans="1:4" x14ac:dyDescent="0.35">
      <c r="A921" s="16">
        <v>45784</v>
      </c>
      <c r="B921" s="17">
        <v>24414.400000000001</v>
      </c>
      <c r="C921" s="10"/>
      <c r="D921" s="19">
        <f t="shared" si="229"/>
        <v>1.4264051276974533E-3</v>
      </c>
    </row>
    <row r="922" spans="1:4" x14ac:dyDescent="0.35">
      <c r="A922" s="16">
        <v>45785</v>
      </c>
      <c r="B922" s="17">
        <v>24273.8</v>
      </c>
      <c r="C922" s="10"/>
      <c r="D922" s="19">
        <f t="shared" si="229"/>
        <v>-5.7755427734603581E-3</v>
      </c>
    </row>
    <row r="923" spans="1:4" x14ac:dyDescent="0.35">
      <c r="A923" s="16">
        <v>45786</v>
      </c>
      <c r="B923" s="17">
        <v>24008</v>
      </c>
      <c r="C923" s="10"/>
      <c r="D923" s="19">
        <f t="shared" si="229"/>
        <v>-1.1010471243807775E-2</v>
      </c>
    </row>
    <row r="924" spans="1:4" x14ac:dyDescent="0.35">
      <c r="A924" s="16">
        <v>45789</v>
      </c>
      <c r="B924" s="17">
        <v>24924.7</v>
      </c>
      <c r="C924" s="10"/>
      <c r="D924" s="19">
        <f t="shared" si="229"/>
        <v>3.7472171529076455E-2</v>
      </c>
    </row>
    <row r="925" spans="1:4" x14ac:dyDescent="0.35">
      <c r="A925" s="16">
        <v>45790</v>
      </c>
      <c r="B925" s="17">
        <v>24578.35</v>
      </c>
      <c r="C925" s="10"/>
      <c r="D925" s="19">
        <f t="shared" si="229"/>
        <v>-1.3993305528556882E-2</v>
      </c>
    </row>
    <row r="926" spans="1:4" x14ac:dyDescent="0.35">
      <c r="A926" s="16">
        <v>45791</v>
      </c>
      <c r="B926" s="17">
        <v>24666.9</v>
      </c>
      <c r="C926" s="10"/>
      <c r="D926" s="19">
        <f t="shared" si="229"/>
        <v>3.5962898121936287E-3</v>
      </c>
    </row>
    <row r="927" spans="1:4" x14ac:dyDescent="0.35">
      <c r="A927" s="16">
        <v>45792</v>
      </c>
      <c r="B927" s="17">
        <v>25062.1</v>
      </c>
      <c r="C927" s="10"/>
      <c r="D927" s="19">
        <f t="shared" si="229"/>
        <v>1.5894480888894447E-2</v>
      </c>
    </row>
    <row r="928" spans="1:4" x14ac:dyDescent="0.35">
      <c r="A928" s="16">
        <v>45793</v>
      </c>
      <c r="B928" s="17">
        <v>25019.8</v>
      </c>
      <c r="C928" s="10"/>
      <c r="D928" s="19">
        <f t="shared" si="229"/>
        <v>-1.6892334379733957E-3</v>
      </c>
    </row>
    <row r="929" spans="1:4" x14ac:dyDescent="0.35">
      <c r="A929" s="16">
        <v>45796</v>
      </c>
      <c r="B929" s="17">
        <v>24945.45</v>
      </c>
      <c r="C929" s="10"/>
      <c r="D929" s="19">
        <f t="shared" si="229"/>
        <v>-2.976070564100508E-3</v>
      </c>
    </row>
    <row r="930" spans="1:4" x14ac:dyDescent="0.35">
      <c r="A930" s="16">
        <v>45797</v>
      </c>
      <c r="B930" s="17">
        <v>24683.9</v>
      </c>
      <c r="C930" s="10"/>
      <c r="D930" s="19">
        <f t="shared" si="229"/>
        <v>-1.0540231594245037E-2</v>
      </c>
    </row>
    <row r="931" spans="1:4" x14ac:dyDescent="0.35">
      <c r="A931" s="16">
        <v>45798</v>
      </c>
      <c r="B931" s="17">
        <v>24813.45</v>
      </c>
      <c r="C931" s="10"/>
      <c r="D931" s="19">
        <f t="shared" si="229"/>
        <v>5.2346356247726386E-3</v>
      </c>
    </row>
    <row r="932" spans="1:4" x14ac:dyDescent="0.35">
      <c r="A932" s="16">
        <v>45799</v>
      </c>
      <c r="B932" s="17">
        <v>24609.7</v>
      </c>
      <c r="C932" s="10"/>
      <c r="D932" s="19">
        <f t="shared" si="229"/>
        <v>-8.2451707060623922E-3</v>
      </c>
    </row>
    <row r="933" spans="1:4" x14ac:dyDescent="0.35">
      <c r="A933" s="16">
        <v>45800</v>
      </c>
      <c r="B933" s="17">
        <v>24853.15</v>
      </c>
      <c r="C933" s="10"/>
      <c r="D933" s="19">
        <f t="shared" si="229"/>
        <v>9.8438309105117507E-3</v>
      </c>
    </row>
    <row r="934" spans="1:4" x14ac:dyDescent="0.35">
      <c r="A934" s="16">
        <v>45803</v>
      </c>
      <c r="B934" s="17">
        <v>25001.15</v>
      </c>
      <c r="C934" s="10"/>
      <c r="D934" s="19">
        <f t="shared" si="229"/>
        <v>5.9373187376564407E-3</v>
      </c>
    </row>
    <row r="935" spans="1:4" x14ac:dyDescent="0.35">
      <c r="A935" s="16">
        <v>45804</v>
      </c>
      <c r="B935" s="17">
        <v>24826.2</v>
      </c>
      <c r="C935" s="10"/>
      <c r="D935" s="19">
        <f t="shared" si="229"/>
        <v>-7.0222766786781181E-3</v>
      </c>
    </row>
    <row r="936" spans="1:4" x14ac:dyDescent="0.35">
      <c r="A936" s="16">
        <v>45805</v>
      </c>
      <c r="B936" s="17">
        <v>24752.45</v>
      </c>
      <c r="C936" s="10"/>
      <c r="D936" s="19">
        <f t="shared" si="229"/>
        <v>-2.9750731170425774E-3</v>
      </c>
    </row>
    <row r="937" spans="1:4" x14ac:dyDescent="0.35">
      <c r="A937" s="16">
        <v>45806</v>
      </c>
      <c r="B937" s="17">
        <v>24833.599999999999</v>
      </c>
      <c r="C937" s="10"/>
      <c r="D937" s="19">
        <f t="shared" si="229"/>
        <v>3.2731009002705618E-3</v>
      </c>
    </row>
    <row r="938" spans="1:4" x14ac:dyDescent="0.35">
      <c r="A938" s="16">
        <v>45807</v>
      </c>
      <c r="B938" s="17">
        <v>24750.7</v>
      </c>
      <c r="C938" s="10"/>
      <c r="D938" s="19">
        <f t="shared" si="229"/>
        <v>-3.3438034717525197E-3</v>
      </c>
    </row>
    <row r="939" spans="1:4" x14ac:dyDescent="0.35">
      <c r="A939" s="16">
        <v>45810</v>
      </c>
      <c r="B939" s="17">
        <v>24716.6</v>
      </c>
      <c r="C939" s="10"/>
      <c r="D939" s="19">
        <f t="shared" si="229"/>
        <v>-1.3786887661705169E-3</v>
      </c>
    </row>
    <row r="940" spans="1:4" x14ac:dyDescent="0.35">
      <c r="A940" s="16">
        <v>45811</v>
      </c>
      <c r="B940" s="17">
        <v>24542.5</v>
      </c>
      <c r="C940" s="10"/>
      <c r="D940" s="19">
        <f t="shared" si="229"/>
        <v>-7.0687740923206172E-3</v>
      </c>
    </row>
    <row r="941" spans="1:4" x14ac:dyDescent="0.35">
      <c r="A941" s="16">
        <v>45812</v>
      </c>
      <c r="B941" s="17">
        <v>24620.2</v>
      </c>
      <c r="C941" s="10"/>
      <c r="D941" s="19">
        <f t="shared" si="229"/>
        <v>3.1609356156210005E-3</v>
      </c>
    </row>
    <row r="942" spans="1:4" x14ac:dyDescent="0.35">
      <c r="A942" s="16">
        <v>45813</v>
      </c>
      <c r="B942" s="17">
        <v>24750.9</v>
      </c>
      <c r="C942" s="10"/>
      <c r="D942" s="19">
        <f t="shared" si="229"/>
        <v>5.2946077897617046E-3</v>
      </c>
    </row>
    <row r="943" spans="1:4" x14ac:dyDescent="0.35">
      <c r="A943" s="16">
        <v>45814</v>
      </c>
      <c r="B943" s="17">
        <v>25003.05</v>
      </c>
      <c r="C943" s="10"/>
      <c r="D943" s="19">
        <f t="shared" si="229"/>
        <v>1.0135965436883998E-2</v>
      </c>
    </row>
    <row r="944" spans="1:4" x14ac:dyDescent="0.35">
      <c r="A944" s="16">
        <v>45817</v>
      </c>
      <c r="B944" s="17">
        <v>25103.200000000001</v>
      </c>
      <c r="C944" s="10"/>
      <c r="D944" s="19">
        <f t="shared" si="229"/>
        <v>3.9975106246084267E-3</v>
      </c>
    </row>
    <row r="945" spans="1:4" x14ac:dyDescent="0.35">
      <c r="A945" s="16">
        <v>45818</v>
      </c>
      <c r="B945" s="17">
        <v>25104.25</v>
      </c>
      <c r="C945" s="10"/>
      <c r="D945" s="19">
        <f t="shared" si="229"/>
        <v>4.1826462015294284E-5</v>
      </c>
    </row>
    <row r="946" spans="1:4" x14ac:dyDescent="0.35">
      <c r="A946" s="16">
        <v>45819</v>
      </c>
      <c r="B946" s="17">
        <v>25141.4</v>
      </c>
      <c r="C946" s="10"/>
      <c r="D946" s="19">
        <f t="shared" si="229"/>
        <v>1.4787352445249067E-3</v>
      </c>
    </row>
    <row r="947" spans="1:4" x14ac:dyDescent="0.35">
      <c r="A947" s="16">
        <v>45820</v>
      </c>
      <c r="B947" s="17">
        <v>24888.2</v>
      </c>
      <c r="C947" s="10"/>
      <c r="D947" s="19">
        <f t="shared" si="229"/>
        <v>-1.0122094193621185E-2</v>
      </c>
    </row>
    <row r="948" spans="1:4" x14ac:dyDescent="0.35">
      <c r="A948" s="16">
        <v>45821</v>
      </c>
      <c r="B948" s="17">
        <v>24718.6</v>
      </c>
      <c r="C948" s="10"/>
      <c r="D948" s="19">
        <f t="shared" si="229"/>
        <v>-6.8377988828330826E-3</v>
      </c>
    </row>
    <row r="949" spans="1:4" x14ac:dyDescent="0.35">
      <c r="A949" s="16">
        <v>45824</v>
      </c>
      <c r="B949" s="17">
        <v>24946.5</v>
      </c>
      <c r="C949" s="10"/>
      <c r="D949" s="19">
        <f t="shared" si="229"/>
        <v>9.177535114667245E-3</v>
      </c>
    </row>
    <row r="950" spans="1:4" x14ac:dyDescent="0.35">
      <c r="A950" s="16">
        <v>45825</v>
      </c>
      <c r="B950" s="17">
        <v>24853.4</v>
      </c>
      <c r="C950" s="10"/>
      <c r="D950" s="19">
        <f t="shared" si="229"/>
        <v>-3.7389676871053394E-3</v>
      </c>
    </row>
    <row r="951" spans="1:4" x14ac:dyDescent="0.35">
      <c r="A951" s="16">
        <v>45826</v>
      </c>
      <c r="B951" s="17">
        <v>24812.05</v>
      </c>
      <c r="C951" s="10"/>
      <c r="D951" s="19">
        <f t="shared" si="229"/>
        <v>-1.6651418462635466E-3</v>
      </c>
    </row>
    <row r="952" spans="1:4" x14ac:dyDescent="0.35">
      <c r="A952" s="16">
        <v>45827</v>
      </c>
      <c r="B952" s="17">
        <v>24793.25</v>
      </c>
      <c r="C952" s="10"/>
      <c r="D952" s="19">
        <f t="shared" si="229"/>
        <v>-7.5798355821293751E-4</v>
      </c>
    </row>
    <row r="953" spans="1:4" x14ac:dyDescent="0.35">
      <c r="A953" s="16">
        <v>45828</v>
      </c>
      <c r="B953" s="17">
        <v>25112.400000000001</v>
      </c>
      <c r="C953" s="10"/>
      <c r="D953" s="19">
        <f t="shared" si="229"/>
        <v>1.2790309347901757E-2</v>
      </c>
    </row>
    <row r="954" spans="1:4" x14ac:dyDescent="0.35">
      <c r="A954" s="16">
        <v>45831</v>
      </c>
      <c r="B954" s="17">
        <v>24971.9</v>
      </c>
      <c r="C954" s="10"/>
      <c r="D954" s="19">
        <f t="shared" si="229"/>
        <v>-5.610555346030624E-3</v>
      </c>
    </row>
    <row r="955" spans="1:4" x14ac:dyDescent="0.35">
      <c r="A955" s="16">
        <v>45832</v>
      </c>
      <c r="B955" s="17">
        <v>25044.35</v>
      </c>
      <c r="C955" s="10"/>
      <c r="D955" s="19">
        <f t="shared" si="229"/>
        <v>2.8970604822426802E-3</v>
      </c>
    </row>
    <row r="956" spans="1:4" x14ac:dyDescent="0.35">
      <c r="A956" s="16">
        <v>45833</v>
      </c>
      <c r="B956" s="17">
        <v>25244.75</v>
      </c>
      <c r="C956" s="10"/>
      <c r="D956" s="19">
        <f t="shared" si="229"/>
        <v>7.969960122065977E-3</v>
      </c>
    </row>
    <row r="957" spans="1:4" x14ac:dyDescent="0.35">
      <c r="A957" s="16">
        <v>45834</v>
      </c>
      <c r="B957" s="17">
        <v>25549</v>
      </c>
      <c r="C957" s="10"/>
      <c r="D957" s="19">
        <f t="shared" si="229"/>
        <v>1.1979963629751521E-2</v>
      </c>
    </row>
    <row r="958" spans="1:4" x14ac:dyDescent="0.35">
      <c r="A958" s="16">
        <v>45835</v>
      </c>
      <c r="B958" s="17">
        <v>25637.8</v>
      </c>
      <c r="C958" s="10"/>
      <c r="D958" s="19">
        <f t="shared" si="229"/>
        <v>3.4696479984903748E-3</v>
      </c>
    </row>
    <row r="959" spans="1:4" x14ac:dyDescent="0.35">
      <c r="A959" s="16">
        <v>45838</v>
      </c>
      <c r="B959" s="17">
        <v>25517.05</v>
      </c>
      <c r="C959" s="10"/>
      <c r="D959" s="19">
        <f t="shared" si="229"/>
        <v>-4.7209687553906882E-3</v>
      </c>
    </row>
    <row r="960" spans="1:4" x14ac:dyDescent="0.35">
      <c r="A960" s="16">
        <v>45839</v>
      </c>
      <c r="B960" s="17">
        <v>25541.8</v>
      </c>
      <c r="C960" s="10"/>
      <c r="D960" s="19">
        <f t="shared" si="229"/>
        <v>9.6946961940914944E-4</v>
      </c>
    </row>
    <row r="961" spans="1:4" x14ac:dyDescent="0.35">
      <c r="A961" s="16">
        <v>45840</v>
      </c>
      <c r="B961" s="17">
        <v>25453.4</v>
      </c>
      <c r="C961" s="10"/>
      <c r="D961" s="19">
        <f t="shared" si="229"/>
        <v>-3.4669964446766102E-3</v>
      </c>
    </row>
    <row r="962" spans="1:4" x14ac:dyDescent="0.35">
      <c r="A962" s="16">
        <v>45841</v>
      </c>
      <c r="B962" s="17">
        <v>25405.3</v>
      </c>
      <c r="C962" s="10"/>
      <c r="D962" s="19">
        <f t="shared" si="229"/>
        <v>-1.8915156833006601E-3</v>
      </c>
    </row>
    <row r="963" spans="1:4" x14ac:dyDescent="0.35">
      <c r="A963" s="16">
        <v>45842</v>
      </c>
      <c r="B963" s="17">
        <v>25461</v>
      </c>
      <c r="C963" s="10"/>
      <c r="D963" s="19">
        <f t="shared" ref="D963:D1026" si="230">LN(B963/B962)</f>
        <v>2.1900559806014813E-3</v>
      </c>
    </row>
    <row r="964" spans="1:4" x14ac:dyDescent="0.35">
      <c r="A964" s="16">
        <v>45845</v>
      </c>
      <c r="B964" s="17">
        <v>25461.3</v>
      </c>
      <c r="C964" s="10"/>
      <c r="D964" s="19">
        <f t="shared" si="230"/>
        <v>1.1782657107136236E-5</v>
      </c>
    </row>
    <row r="965" spans="1:4" x14ac:dyDescent="0.35">
      <c r="A965" s="16">
        <v>45846</v>
      </c>
      <c r="B965" s="17">
        <v>25522.5</v>
      </c>
      <c r="C965" s="10"/>
      <c r="D965" s="19">
        <f t="shared" si="230"/>
        <v>2.4007637482767337E-3</v>
      </c>
    </row>
    <row r="966" spans="1:4" x14ac:dyDescent="0.35">
      <c r="A966" s="16">
        <v>45847</v>
      </c>
      <c r="B966" s="17">
        <v>25476.1</v>
      </c>
      <c r="C966" s="10"/>
      <c r="D966" s="19">
        <f t="shared" si="230"/>
        <v>-1.8196582966253595E-3</v>
      </c>
    </row>
    <row r="967" spans="1:4" x14ac:dyDescent="0.35">
      <c r="A967" s="16">
        <v>45848</v>
      </c>
      <c r="B967" s="17">
        <v>25355.25</v>
      </c>
      <c r="C967" s="10"/>
      <c r="D967" s="19">
        <f t="shared" si="230"/>
        <v>-4.7549485778671007E-3</v>
      </c>
    </row>
    <row r="968" spans="1:4" x14ac:dyDescent="0.35">
      <c r="A968" s="16">
        <v>45849</v>
      </c>
      <c r="B968" s="17">
        <v>25149.85</v>
      </c>
      <c r="C968" s="10"/>
      <c r="D968" s="19">
        <f t="shared" si="230"/>
        <v>-8.1338768732905544E-3</v>
      </c>
    </row>
    <row r="969" spans="1:4" x14ac:dyDescent="0.35">
      <c r="A969" s="16">
        <v>45852</v>
      </c>
      <c r="B969" s="17">
        <v>25082.3</v>
      </c>
      <c r="C969" s="10"/>
      <c r="D969" s="19">
        <f t="shared" si="230"/>
        <v>-2.6895142142431107E-3</v>
      </c>
    </row>
    <row r="970" spans="1:4" x14ac:dyDescent="0.35">
      <c r="A970" s="16">
        <v>45853</v>
      </c>
      <c r="B970" s="17">
        <v>25195.8</v>
      </c>
      <c r="C970" s="10"/>
      <c r="D970" s="19">
        <f t="shared" si="230"/>
        <v>4.5148958612713751E-3</v>
      </c>
    </row>
    <row r="971" spans="1:4" x14ac:dyDescent="0.35">
      <c r="A971" s="16">
        <v>45854</v>
      </c>
      <c r="B971" s="17">
        <v>25212.05</v>
      </c>
      <c r="C971" s="10"/>
      <c r="D971" s="19">
        <f t="shared" si="230"/>
        <v>6.4474087122986417E-4</v>
      </c>
    </row>
    <row r="972" spans="1:4" x14ac:dyDescent="0.35">
      <c r="A972" s="16">
        <v>45855</v>
      </c>
      <c r="B972" s="17">
        <v>25111.45</v>
      </c>
      <c r="C972" s="10"/>
      <c r="D972" s="19">
        <f t="shared" si="230"/>
        <v>-3.9981374112852634E-3</v>
      </c>
    </row>
    <row r="973" spans="1:4" x14ac:dyDescent="0.35">
      <c r="A973" s="16">
        <v>45856</v>
      </c>
      <c r="B973" s="17">
        <v>24968.400000000001</v>
      </c>
      <c r="C973" s="10"/>
      <c r="D973" s="19">
        <f t="shared" si="230"/>
        <v>-5.7128920738239268E-3</v>
      </c>
    </row>
    <row r="974" spans="1:4" x14ac:dyDescent="0.35">
      <c r="A974" s="16">
        <v>45859</v>
      </c>
      <c r="B974" s="17">
        <v>25090.7</v>
      </c>
      <c r="C974" s="10"/>
      <c r="D974" s="19">
        <f t="shared" si="230"/>
        <v>4.8862342043243081E-3</v>
      </c>
    </row>
    <row r="975" spans="1:4" x14ac:dyDescent="0.35">
      <c r="A975" s="16">
        <v>45860</v>
      </c>
      <c r="B975" s="17">
        <v>25060.9</v>
      </c>
      <c r="C975" s="10"/>
      <c r="D975" s="19">
        <f t="shared" si="230"/>
        <v>-1.1883969208231818E-3</v>
      </c>
    </row>
    <row r="976" spans="1:4" x14ac:dyDescent="0.35">
      <c r="A976" s="16">
        <v>45861</v>
      </c>
      <c r="B976" s="17">
        <v>25219.9</v>
      </c>
      <c r="C976" s="10"/>
      <c r="D976" s="19">
        <f t="shared" si="230"/>
        <v>6.3245027919540961E-3</v>
      </c>
    </row>
    <row r="977" spans="1:4" x14ac:dyDescent="0.35">
      <c r="A977" s="16">
        <v>45862</v>
      </c>
      <c r="B977" s="17">
        <v>25062.1</v>
      </c>
      <c r="C977" s="10"/>
      <c r="D977" s="19">
        <f t="shared" si="230"/>
        <v>-6.2766205821811125E-3</v>
      </c>
    </row>
    <row r="978" spans="1:4" x14ac:dyDescent="0.35">
      <c r="A978" s="16">
        <v>45863</v>
      </c>
      <c r="B978" s="17">
        <v>24837</v>
      </c>
      <c r="C978" s="10"/>
      <c r="D978" s="19">
        <f t="shared" si="230"/>
        <v>-9.0222680148949828E-3</v>
      </c>
    </row>
    <row r="979" spans="1:4" x14ac:dyDescent="0.35">
      <c r="A979" s="16">
        <v>45866</v>
      </c>
      <c r="B979" s="17">
        <v>24680.9</v>
      </c>
      <c r="C979" s="10"/>
      <c r="D979" s="19">
        <f t="shared" si="230"/>
        <v>-6.3048116777717281E-3</v>
      </c>
    </row>
    <row r="980" spans="1:4" x14ac:dyDescent="0.35">
      <c r="A980" s="16">
        <v>45867</v>
      </c>
      <c r="B980" s="17">
        <v>24821.1</v>
      </c>
      <c r="C980" s="10"/>
      <c r="D980" s="19">
        <f t="shared" si="230"/>
        <v>5.6644327448940367E-3</v>
      </c>
    </row>
    <row r="981" spans="1:4" x14ac:dyDescent="0.35">
      <c r="A981" s="16">
        <v>45868</v>
      </c>
      <c r="B981" s="17">
        <v>24855.05</v>
      </c>
      <c r="C981" s="10"/>
      <c r="D981" s="19">
        <f t="shared" si="230"/>
        <v>1.3668533203841048E-3</v>
      </c>
    </row>
    <row r="982" spans="1:4" x14ac:dyDescent="0.35">
      <c r="A982" s="16">
        <v>45869</v>
      </c>
      <c r="B982" s="17">
        <v>24768.35</v>
      </c>
      <c r="C982" s="10"/>
      <c r="D982" s="19">
        <f t="shared" si="230"/>
        <v>-3.4943227678611022E-3</v>
      </c>
    </row>
    <row r="983" spans="1:4" x14ac:dyDescent="0.35">
      <c r="A983" s="16">
        <v>45870</v>
      </c>
      <c r="B983" s="17">
        <v>24565.35</v>
      </c>
      <c r="C983" s="10"/>
      <c r="D983" s="19">
        <f t="shared" si="230"/>
        <v>-8.2297150116146193E-3</v>
      </c>
    </row>
    <row r="984" spans="1:4" x14ac:dyDescent="0.35">
      <c r="A984" s="16">
        <v>45873</v>
      </c>
      <c r="B984" s="17">
        <v>24722.75</v>
      </c>
      <c r="C984" s="10"/>
      <c r="D984" s="19">
        <f t="shared" si="230"/>
        <v>6.3869589240010231E-3</v>
      </c>
    </row>
    <row r="985" spans="1:4" x14ac:dyDescent="0.35">
      <c r="A985" s="16">
        <v>45874</v>
      </c>
      <c r="B985" s="17">
        <v>24649.55</v>
      </c>
      <c r="C985" s="10"/>
      <c r="D985" s="19">
        <f t="shared" si="230"/>
        <v>-2.9652276128395885E-3</v>
      </c>
    </row>
    <row r="986" spans="1:4" x14ac:dyDescent="0.35">
      <c r="A986" s="16">
        <v>45875</v>
      </c>
      <c r="B986" s="17">
        <v>24574.2</v>
      </c>
      <c r="C986" s="10"/>
      <c r="D986" s="19">
        <f t="shared" si="230"/>
        <v>-3.0615326485490348E-3</v>
      </c>
    </row>
    <row r="987" spans="1:4" x14ac:dyDescent="0.35">
      <c r="A987" s="16">
        <v>45876</v>
      </c>
      <c r="B987" s="17">
        <v>24596.15</v>
      </c>
      <c r="C987" s="10"/>
      <c r="D987" s="19">
        <f t="shared" si="230"/>
        <v>8.9281452981572603E-4</v>
      </c>
    </row>
    <row r="988" spans="1:4" x14ac:dyDescent="0.35">
      <c r="A988" s="16">
        <v>45877</v>
      </c>
      <c r="B988" s="17">
        <v>24363.3</v>
      </c>
      <c r="C988" s="10"/>
      <c r="D988" s="19">
        <f t="shared" si="230"/>
        <v>-9.5120249782038261E-3</v>
      </c>
    </row>
    <row r="989" spans="1:4" x14ac:dyDescent="0.35">
      <c r="A989" s="16">
        <v>45880</v>
      </c>
      <c r="B989" s="17">
        <v>24585.05</v>
      </c>
      <c r="C989" s="10"/>
      <c r="D989" s="19">
        <f t="shared" si="230"/>
        <v>9.0606329752241262E-3</v>
      </c>
    </row>
    <row r="990" spans="1:4" x14ac:dyDescent="0.35">
      <c r="A990" s="16">
        <v>45881</v>
      </c>
      <c r="B990" s="17">
        <v>24487.4</v>
      </c>
      <c r="C990" s="10"/>
      <c r="D990" s="19">
        <f t="shared" si="230"/>
        <v>-3.9798350761185517E-3</v>
      </c>
    </row>
    <row r="991" spans="1:4" x14ac:dyDescent="0.35">
      <c r="A991" s="16">
        <v>45882</v>
      </c>
      <c r="B991" s="17">
        <v>24619.35</v>
      </c>
      <c r="C991" s="10"/>
      <c r="D991" s="19">
        <f t="shared" si="230"/>
        <v>5.3740195618916181E-3</v>
      </c>
    </row>
    <row r="992" spans="1:4" x14ac:dyDescent="0.35">
      <c r="A992" s="16">
        <v>45883</v>
      </c>
      <c r="B992" s="17">
        <v>24631.3</v>
      </c>
      <c r="C992" s="10"/>
      <c r="D992" s="19">
        <f t="shared" si="230"/>
        <v>4.8527279272500415E-4</v>
      </c>
    </row>
    <row r="993" spans="1:4" x14ac:dyDescent="0.35">
      <c r="A993" s="16">
        <v>45887</v>
      </c>
      <c r="B993" s="17">
        <v>24876.95</v>
      </c>
      <c r="C993" s="10"/>
      <c r="D993" s="19">
        <f t="shared" si="230"/>
        <v>9.9236800312108801E-3</v>
      </c>
    </row>
    <row r="994" spans="1:4" x14ac:dyDescent="0.35">
      <c r="A994" s="16">
        <v>45888</v>
      </c>
      <c r="B994" s="17">
        <v>24980.65</v>
      </c>
      <c r="C994" s="10"/>
      <c r="D994" s="19">
        <f t="shared" si="230"/>
        <v>4.1598532435831309E-3</v>
      </c>
    </row>
    <row r="995" spans="1:4" x14ac:dyDescent="0.35">
      <c r="A995" s="16">
        <v>45889</v>
      </c>
      <c r="B995" s="17">
        <v>25050.55</v>
      </c>
      <c r="C995" s="10"/>
      <c r="D995" s="19">
        <f t="shared" si="230"/>
        <v>2.7942582021172405E-3</v>
      </c>
    </row>
    <row r="996" spans="1:4" x14ac:dyDescent="0.35">
      <c r="A996" s="16">
        <v>45890</v>
      </c>
      <c r="B996" s="17">
        <v>25083.75</v>
      </c>
      <c r="C996" s="10"/>
      <c r="D996" s="19">
        <f t="shared" si="230"/>
        <v>1.324442740923701E-3</v>
      </c>
    </row>
    <row r="997" spans="1:4" x14ac:dyDescent="0.35">
      <c r="A997" s="16">
        <v>45891</v>
      </c>
      <c r="B997" s="17">
        <v>24870.1</v>
      </c>
      <c r="C997" s="10"/>
      <c r="D997" s="19">
        <f t="shared" si="230"/>
        <v>-8.5539474026356463E-3</v>
      </c>
    </row>
    <row r="998" spans="1:4" x14ac:dyDescent="0.35">
      <c r="A998" s="16">
        <v>45894</v>
      </c>
      <c r="B998" s="17">
        <v>24967.75</v>
      </c>
      <c r="C998" s="10"/>
      <c r="D998" s="19">
        <f t="shared" si="230"/>
        <v>3.9187133859900506E-3</v>
      </c>
    </row>
    <row r="999" spans="1:4" x14ac:dyDescent="0.35">
      <c r="A999" s="16">
        <v>45895</v>
      </c>
      <c r="B999" s="17">
        <v>24712.05</v>
      </c>
      <c r="C999" s="10"/>
      <c r="D999" s="19">
        <f t="shared" si="230"/>
        <v>-1.0294013179196964E-2</v>
      </c>
    </row>
    <row r="1000" spans="1:4" x14ac:dyDescent="0.35">
      <c r="A1000" s="16">
        <v>45897</v>
      </c>
      <c r="B1000" s="17">
        <v>24500.9</v>
      </c>
      <c r="C1000" s="10"/>
      <c r="D1000" s="19">
        <f t="shared" si="230"/>
        <v>-8.5811273528911703E-3</v>
      </c>
    </row>
    <row r="1001" spans="1:4" x14ac:dyDescent="0.35">
      <c r="A1001" s="16">
        <v>45898</v>
      </c>
      <c r="B1001" s="17">
        <v>24426.85</v>
      </c>
      <c r="C1001" s="10"/>
      <c r="D1001" s="19">
        <f t="shared" si="230"/>
        <v>-3.0269144417419749E-3</v>
      </c>
    </row>
    <row r="1002" spans="1:4" x14ac:dyDescent="0.35">
      <c r="A1002" s="16">
        <v>45901</v>
      </c>
      <c r="B1002" s="17">
        <v>24625.05</v>
      </c>
      <c r="C1002" s="10"/>
      <c r="D1002" s="19">
        <f t="shared" si="230"/>
        <v>8.0812803848293591E-3</v>
      </c>
    </row>
    <row r="1003" spans="1:4" x14ac:dyDescent="0.35">
      <c r="A1003" s="16">
        <v>45902</v>
      </c>
      <c r="B1003" s="17">
        <v>24579.599999999999</v>
      </c>
      <c r="C1003" s="10"/>
      <c r="D1003" s="19">
        <f t="shared" si="230"/>
        <v>-1.8473869004707994E-3</v>
      </c>
    </row>
    <row r="1004" spans="1:4" x14ac:dyDescent="0.35">
      <c r="A1004" s="16">
        <v>45903</v>
      </c>
      <c r="B1004" s="17">
        <v>24715.05</v>
      </c>
      <c r="C1004" s="10"/>
      <c r="D1004" s="19">
        <f t="shared" si="230"/>
        <v>5.495539207320317E-3</v>
      </c>
    </row>
    <row r="1005" spans="1:4" x14ac:dyDescent="0.35">
      <c r="A1005" s="16">
        <v>45904</v>
      </c>
      <c r="B1005" s="17">
        <v>24734.3</v>
      </c>
      <c r="C1005" s="10"/>
      <c r="D1005" s="19">
        <f t="shared" si="230"/>
        <v>7.7857447964071113E-4</v>
      </c>
    </row>
    <row r="1006" spans="1:4" x14ac:dyDescent="0.35">
      <c r="A1006" s="16">
        <v>45905</v>
      </c>
      <c r="B1006" s="17">
        <v>24741</v>
      </c>
      <c r="C1006" s="10"/>
      <c r="D1006" s="19">
        <f t="shared" si="230"/>
        <v>2.708422198937796E-4</v>
      </c>
    </row>
    <row r="1007" spans="1:4" x14ac:dyDescent="0.35">
      <c r="A1007" s="16">
        <v>45908</v>
      </c>
      <c r="B1007" s="17">
        <v>24773.15</v>
      </c>
      <c r="C1007" s="10"/>
      <c r="D1007" s="19">
        <f t="shared" si="230"/>
        <v>1.2986188601915426E-3</v>
      </c>
    </row>
    <row r="1008" spans="1:4" x14ac:dyDescent="0.35">
      <c r="A1008" s="16">
        <v>45909</v>
      </c>
      <c r="B1008" s="17">
        <v>24868.6</v>
      </c>
      <c r="C1008" s="10"/>
      <c r="D1008" s="19">
        <f t="shared" si="230"/>
        <v>3.8455581291435849E-3</v>
      </c>
    </row>
    <row r="1009" spans="1:4" x14ac:dyDescent="0.35">
      <c r="A1009" s="16">
        <v>45910</v>
      </c>
      <c r="B1009" s="17">
        <v>24973.1</v>
      </c>
      <c r="C1009" s="10"/>
      <c r="D1009" s="19">
        <f t="shared" si="230"/>
        <v>4.1932820559463261E-3</v>
      </c>
    </row>
    <row r="1010" spans="1:4" x14ac:dyDescent="0.35">
      <c r="A1010" s="16">
        <v>45911</v>
      </c>
      <c r="B1010" s="17">
        <v>25005.5</v>
      </c>
      <c r="C1010" s="10"/>
      <c r="D1010" s="19">
        <f t="shared" si="230"/>
        <v>1.2965551071398326E-3</v>
      </c>
    </row>
    <row r="1011" spans="1:4" x14ac:dyDescent="0.35">
      <c r="A1011" s="16">
        <v>45912</v>
      </c>
      <c r="B1011" s="17">
        <v>25114</v>
      </c>
      <c r="C1011" s="10"/>
      <c r="D1011" s="19">
        <f t="shared" si="230"/>
        <v>4.3296588950226811E-3</v>
      </c>
    </row>
    <row r="1012" spans="1:4" x14ac:dyDescent="0.35">
      <c r="A1012" s="16">
        <v>45915</v>
      </c>
      <c r="B1012" s="17">
        <v>25069.200000000001</v>
      </c>
      <c r="C1012" s="10"/>
      <c r="D1012" s="19">
        <f t="shared" si="230"/>
        <v>-1.7854585559052094E-3</v>
      </c>
    </row>
    <row r="1013" spans="1:4" x14ac:dyDescent="0.35">
      <c r="A1013" s="16">
        <v>45916</v>
      </c>
      <c r="B1013" s="17">
        <v>25239.1</v>
      </c>
      <c r="C1013" s="10"/>
      <c r="D1013" s="19">
        <f t="shared" si="230"/>
        <v>6.7543783401827241E-3</v>
      </c>
    </row>
    <row r="1014" spans="1:4" x14ac:dyDescent="0.35">
      <c r="A1014" s="16">
        <v>45917</v>
      </c>
      <c r="B1014" s="17">
        <v>25330.25</v>
      </c>
      <c r="C1014" s="10"/>
      <c r="D1014" s="19">
        <f t="shared" si="230"/>
        <v>3.6049543335288465E-3</v>
      </c>
    </row>
    <row r="1015" spans="1:4" x14ac:dyDescent="0.35">
      <c r="A1015" s="16">
        <v>45918</v>
      </c>
      <c r="B1015" s="17">
        <v>25423.599999999999</v>
      </c>
      <c r="C1015" s="10"/>
      <c r="D1015" s="19">
        <f t="shared" si="230"/>
        <v>3.6785428205012871E-3</v>
      </c>
    </row>
    <row r="1016" spans="1:4" x14ac:dyDescent="0.35">
      <c r="A1016" s="16">
        <v>45919</v>
      </c>
      <c r="B1016" s="17">
        <v>25327.05</v>
      </c>
      <c r="C1016" s="10"/>
      <c r="D1016" s="19">
        <f t="shared" si="230"/>
        <v>-3.8048819662613634E-3</v>
      </c>
    </row>
    <row r="1017" spans="1:4" x14ac:dyDescent="0.35">
      <c r="A1017" s="16">
        <v>45922</v>
      </c>
      <c r="B1017" s="17">
        <v>25202.35</v>
      </c>
      <c r="C1017" s="10"/>
      <c r="D1017" s="19">
        <f t="shared" si="230"/>
        <v>-4.9357504010677988E-3</v>
      </c>
    </row>
    <row r="1018" spans="1:4" x14ac:dyDescent="0.35">
      <c r="A1018" s="16">
        <v>45923</v>
      </c>
      <c r="B1018" s="17">
        <v>25169.5</v>
      </c>
      <c r="C1018" s="10"/>
      <c r="D1018" s="19">
        <f t="shared" si="230"/>
        <v>-1.3043001063899793E-3</v>
      </c>
    </row>
    <row r="1019" spans="1:4" x14ac:dyDescent="0.35">
      <c r="A1019" s="16">
        <v>45924</v>
      </c>
      <c r="B1019" s="17">
        <v>25056.9</v>
      </c>
      <c r="C1019" s="10"/>
      <c r="D1019" s="19">
        <f t="shared" si="230"/>
        <v>-4.48370532782927E-3</v>
      </c>
    </row>
    <row r="1020" spans="1:4" x14ac:dyDescent="0.35">
      <c r="A1020" s="16">
        <v>45925</v>
      </c>
      <c r="B1020" s="17">
        <v>24890.85</v>
      </c>
      <c r="C1020" s="10"/>
      <c r="D1020" s="19">
        <f t="shared" si="230"/>
        <v>-6.6489726459885842E-3</v>
      </c>
    </row>
    <row r="1021" spans="1:4" x14ac:dyDescent="0.35">
      <c r="A1021" s="16">
        <v>45926</v>
      </c>
      <c r="B1021" s="17">
        <v>24654.7</v>
      </c>
      <c r="C1021" s="10"/>
      <c r="D1021" s="19">
        <f t="shared" si="230"/>
        <v>-9.5327143727411273E-3</v>
      </c>
    </row>
    <row r="1022" spans="1:4" x14ac:dyDescent="0.35">
      <c r="A1022" s="16">
        <v>45929</v>
      </c>
      <c r="B1022" s="17">
        <v>24634.9</v>
      </c>
      <c r="C1022" s="10"/>
      <c r="D1022" s="19">
        <f t="shared" si="230"/>
        <v>-8.0341496238696723E-4</v>
      </c>
    </row>
    <row r="1023" spans="1:4" x14ac:dyDescent="0.35">
      <c r="A1023" s="16">
        <v>45930</v>
      </c>
      <c r="B1023" s="17">
        <v>24611.1</v>
      </c>
      <c r="C1023" s="10"/>
      <c r="D1023" s="19">
        <f t="shared" si="230"/>
        <v>-9.6657604081426692E-4</v>
      </c>
    </row>
    <row r="1024" spans="1:4" x14ac:dyDescent="0.35">
      <c r="A1024" s="16">
        <v>45931</v>
      </c>
      <c r="B1024" s="17">
        <v>24836.3</v>
      </c>
      <c r="C1024" s="10"/>
      <c r="D1024" s="19">
        <f t="shared" si="230"/>
        <v>9.1087319879058007E-3</v>
      </c>
    </row>
    <row r="1025" spans="1:4" x14ac:dyDescent="0.35">
      <c r="A1025" s="16">
        <v>45933</v>
      </c>
      <c r="B1025" s="17">
        <v>24894.25</v>
      </c>
      <c r="C1025" s="10"/>
      <c r="D1025" s="19">
        <f t="shared" si="230"/>
        <v>2.3305604393949906E-3</v>
      </c>
    </row>
    <row r="1026" spans="1:4" x14ac:dyDescent="0.35">
      <c r="A1026" s="16">
        <v>45936</v>
      </c>
      <c r="B1026" s="17">
        <v>25077.65</v>
      </c>
      <c r="C1026" s="10"/>
      <c r="D1026" s="19">
        <f t="shared" si="230"/>
        <v>7.3401581061951155E-3</v>
      </c>
    </row>
    <row r="1027" spans="1:4" x14ac:dyDescent="0.35">
      <c r="A1027" s="16">
        <v>45937</v>
      </c>
      <c r="B1027" s="17">
        <v>25108.3</v>
      </c>
      <c r="C1027" s="10"/>
      <c r="D1027" s="19">
        <f t="shared" ref="D1027:D1090" si="231">LN(B1027/B1026)</f>
        <v>1.2214575517932756E-3</v>
      </c>
    </row>
    <row r="1028" spans="1:4" x14ac:dyDescent="0.35">
      <c r="A1028" s="16">
        <v>45938</v>
      </c>
      <c r="B1028" s="17">
        <v>25046.15</v>
      </c>
      <c r="C1028" s="10"/>
      <c r="D1028" s="19">
        <f t="shared" si="231"/>
        <v>-2.4783456627061593E-3</v>
      </c>
    </row>
    <row r="1029" spans="1:4" x14ac:dyDescent="0.35">
      <c r="A1029" s="16">
        <v>45939</v>
      </c>
      <c r="B1029" s="17">
        <v>25181.8</v>
      </c>
      <c r="C1029" s="10"/>
      <c r="D1029" s="19">
        <f t="shared" si="231"/>
        <v>5.401388262863396E-3</v>
      </c>
    </row>
    <row r="1030" spans="1:4" x14ac:dyDescent="0.35">
      <c r="A1030" s="16">
        <v>45940</v>
      </c>
      <c r="B1030" s="17">
        <v>25285.35</v>
      </c>
      <c r="C1030" s="10"/>
      <c r="D1030" s="19">
        <f t="shared" si="231"/>
        <v>4.1036652680295424E-3</v>
      </c>
    </row>
    <row r="1031" spans="1:4" x14ac:dyDescent="0.35">
      <c r="A1031" s="16">
        <v>45943</v>
      </c>
      <c r="B1031" s="17">
        <v>25227.35</v>
      </c>
      <c r="C1031" s="10"/>
      <c r="D1031" s="19">
        <f t="shared" si="231"/>
        <v>-2.2964531885856635E-3</v>
      </c>
    </row>
    <row r="1032" spans="1:4" x14ac:dyDescent="0.35">
      <c r="A1032" s="16">
        <v>45944</v>
      </c>
      <c r="B1032" s="17">
        <v>25145.5</v>
      </c>
      <c r="C1032" s="10"/>
      <c r="D1032" s="19">
        <f t="shared" si="231"/>
        <v>-3.2497693513395339E-3</v>
      </c>
    </row>
    <row r="1033" spans="1:4" x14ac:dyDescent="0.35">
      <c r="A1033" s="16">
        <v>45945</v>
      </c>
      <c r="B1033" s="17">
        <v>25323.55</v>
      </c>
      <c r="C1033" s="10"/>
      <c r="D1033" s="19">
        <f t="shared" si="231"/>
        <v>7.0558387242180077E-3</v>
      </c>
    </row>
    <row r="1034" spans="1:4" x14ac:dyDescent="0.35">
      <c r="A1034" s="16">
        <v>45946</v>
      </c>
      <c r="B1034" s="17">
        <v>25585.3</v>
      </c>
      <c r="C1034" s="10"/>
      <c r="D1034" s="19">
        <f t="shared" si="231"/>
        <v>1.0283174989422342E-2</v>
      </c>
    </row>
    <row r="1035" spans="1:4" x14ac:dyDescent="0.35">
      <c r="A1035" s="16">
        <v>45947</v>
      </c>
      <c r="B1035" s="17">
        <v>25709.85</v>
      </c>
      <c r="C1035" s="10"/>
      <c r="D1035" s="19">
        <f t="shared" si="231"/>
        <v>4.8562191462695678E-3</v>
      </c>
    </row>
    <row r="1036" spans="1:4" x14ac:dyDescent="0.35">
      <c r="A1036" s="16">
        <v>45950</v>
      </c>
      <c r="B1036" s="17">
        <v>25843.15</v>
      </c>
      <c r="C1036" s="10"/>
      <c r="D1036" s="19">
        <f t="shared" si="231"/>
        <v>5.1713885544162376E-3</v>
      </c>
    </row>
    <row r="1037" spans="1:4" x14ac:dyDescent="0.35">
      <c r="A1037" s="16">
        <v>45951</v>
      </c>
      <c r="B1037" s="17">
        <v>25868.6</v>
      </c>
      <c r="C1037" s="10"/>
      <c r="D1037" s="19">
        <f t="shared" si="231"/>
        <v>9.8430248656327583E-4</v>
      </c>
    </row>
    <row r="1038" spans="1:4" x14ac:dyDescent="0.35">
      <c r="A1038" s="16">
        <v>45953</v>
      </c>
      <c r="B1038" s="17">
        <v>25891.4</v>
      </c>
      <c r="C1038" s="10"/>
      <c r="D1038" s="19">
        <f t="shared" si="231"/>
        <v>8.8098923781576393E-4</v>
      </c>
    </row>
    <row r="1039" spans="1:4" x14ac:dyDescent="0.35">
      <c r="A1039" s="16">
        <v>45954</v>
      </c>
      <c r="B1039" s="17">
        <v>25795.15</v>
      </c>
      <c r="C1039" s="10"/>
      <c r="D1039" s="19">
        <f t="shared" si="231"/>
        <v>-3.7243774737084727E-3</v>
      </c>
    </row>
    <row r="1040" spans="1:4" x14ac:dyDescent="0.35">
      <c r="A1040" s="16">
        <v>45957</v>
      </c>
      <c r="B1040" s="17">
        <v>25966.05</v>
      </c>
      <c r="C1040" s="10"/>
      <c r="D1040" s="19">
        <f t="shared" si="231"/>
        <v>6.603425771068816E-3</v>
      </c>
    </row>
    <row r="1041" spans="1:4" x14ac:dyDescent="0.35">
      <c r="A1041" s="16">
        <v>45958</v>
      </c>
      <c r="B1041" s="17">
        <v>25936.2</v>
      </c>
      <c r="C1041" s="10"/>
      <c r="D1041" s="19">
        <f t="shared" si="231"/>
        <v>-1.1502392783005436E-3</v>
      </c>
    </row>
    <row r="1042" spans="1:4" x14ac:dyDescent="0.35">
      <c r="A1042" s="16">
        <v>45959</v>
      </c>
      <c r="B1042" s="17">
        <v>26053.9</v>
      </c>
      <c r="C1042" s="10"/>
      <c r="D1042" s="19">
        <f t="shared" si="231"/>
        <v>4.5277928328536733E-3</v>
      </c>
    </row>
    <row r="1043" spans="1:4" x14ac:dyDescent="0.35">
      <c r="A1043" s="16">
        <v>45960</v>
      </c>
      <c r="B1043" s="17">
        <v>25877.85</v>
      </c>
      <c r="C1043" s="10"/>
      <c r="D1043" s="19">
        <f t="shared" si="231"/>
        <v>-6.7800786382074861E-3</v>
      </c>
    </row>
    <row r="1044" spans="1:4" x14ac:dyDescent="0.35">
      <c r="A1044" s="16">
        <v>45961</v>
      </c>
      <c r="B1044" s="17">
        <v>25722.1</v>
      </c>
      <c r="C1044" s="10"/>
      <c r="D1044" s="19">
        <f t="shared" si="231"/>
        <v>-6.0368458886522298E-3</v>
      </c>
    </row>
    <row r="1045" spans="1:4" x14ac:dyDescent="0.35">
      <c r="A1045" s="16">
        <v>45964</v>
      </c>
      <c r="B1045" s="17">
        <v>25763.35</v>
      </c>
      <c r="C1045" s="10"/>
      <c r="D1045" s="19">
        <f t="shared" si="231"/>
        <v>1.6023948057699113E-3</v>
      </c>
    </row>
    <row r="1046" spans="1:4" x14ac:dyDescent="0.35">
      <c r="A1046" s="16">
        <v>45965</v>
      </c>
      <c r="B1046" s="17">
        <v>25597.65</v>
      </c>
      <c r="C1046" s="10"/>
      <c r="D1046" s="19">
        <f t="shared" si="231"/>
        <v>-6.4523889677539662E-3</v>
      </c>
    </row>
    <row r="1047" spans="1:4" x14ac:dyDescent="0.35">
      <c r="A1047" s="16">
        <v>45967</v>
      </c>
      <c r="B1047" s="17">
        <v>25509.7</v>
      </c>
      <c r="C1047" s="10"/>
      <c r="D1047" s="19">
        <f t="shared" si="231"/>
        <v>-3.4417784064369639E-3</v>
      </c>
    </row>
    <row r="1048" spans="1:4" x14ac:dyDescent="0.35">
      <c r="A1048" s="16">
        <v>45968</v>
      </c>
      <c r="B1048" s="17">
        <v>25492.3</v>
      </c>
      <c r="C1048" s="10"/>
      <c r="D1048" s="19">
        <f t="shared" si="231"/>
        <v>-6.8232620975946482E-4</v>
      </c>
    </row>
    <row r="1049" spans="1:4" x14ac:dyDescent="0.35">
      <c r="A1049" s="16">
        <v>45971</v>
      </c>
      <c r="B1049" s="17">
        <v>25574.35</v>
      </c>
      <c r="C1049" s="10"/>
      <c r="D1049" s="19">
        <f t="shared" si="231"/>
        <v>3.2134502892125225E-3</v>
      </c>
    </row>
    <row r="1050" spans="1:4" x14ac:dyDescent="0.35">
      <c r="A1050" s="16">
        <v>45972</v>
      </c>
      <c r="B1050" s="17">
        <v>25694.95</v>
      </c>
      <c r="C1050" s="10"/>
      <c r="D1050" s="19">
        <f t="shared" si="231"/>
        <v>4.7045784684853244E-3</v>
      </c>
    </row>
    <row r="1051" spans="1:4" x14ac:dyDescent="0.35">
      <c r="A1051" s="16">
        <v>45973</v>
      </c>
      <c r="B1051" s="17">
        <v>25875.8</v>
      </c>
      <c r="C1051" s="10"/>
      <c r="D1051" s="19">
        <f t="shared" si="231"/>
        <v>7.0136944435542489E-3</v>
      </c>
    </row>
    <row r="1052" spans="1:4" x14ac:dyDescent="0.35">
      <c r="A1052" s="16">
        <v>45974</v>
      </c>
      <c r="B1052" s="17">
        <v>25879.15</v>
      </c>
      <c r="C1052" s="10"/>
      <c r="D1052" s="19">
        <f t="shared" si="231"/>
        <v>1.2945621644613778E-4</v>
      </c>
    </row>
    <row r="1053" spans="1:4" x14ac:dyDescent="0.35">
      <c r="A1053" s="16">
        <v>45975</v>
      </c>
      <c r="B1053" s="17">
        <v>25910.05</v>
      </c>
      <c r="C1053" s="10"/>
      <c r="D1053" s="19">
        <f t="shared" si="231"/>
        <v>1.193299130579461E-3</v>
      </c>
    </row>
    <row r="1054" spans="1:4" x14ac:dyDescent="0.35">
      <c r="A1054" s="16">
        <v>45978</v>
      </c>
      <c r="B1054" s="17">
        <v>26013.45</v>
      </c>
      <c r="C1054" s="10"/>
      <c r="D1054" s="19">
        <f t="shared" si="231"/>
        <v>3.9827876272855566E-3</v>
      </c>
    </row>
    <row r="1055" spans="1:4" x14ac:dyDescent="0.35">
      <c r="A1055" s="16">
        <v>45979</v>
      </c>
      <c r="B1055" s="17">
        <v>25910.05</v>
      </c>
      <c r="C1055" s="10"/>
      <c r="D1055" s="19">
        <f t="shared" si="231"/>
        <v>-3.9827876272854204E-3</v>
      </c>
    </row>
    <row r="1056" spans="1:4" x14ac:dyDescent="0.35">
      <c r="A1056" s="16">
        <v>45980</v>
      </c>
      <c r="B1056" s="17">
        <v>26052.65</v>
      </c>
      <c r="C1056" s="10"/>
      <c r="D1056" s="19">
        <f t="shared" si="231"/>
        <v>5.488566143699687E-3</v>
      </c>
    </row>
    <row r="1057" spans="1:4" x14ac:dyDescent="0.35">
      <c r="A1057" s="16">
        <v>45981</v>
      </c>
      <c r="B1057" s="17">
        <v>26192.15</v>
      </c>
      <c r="C1057" s="10"/>
      <c r="D1057" s="19">
        <f t="shared" si="231"/>
        <v>5.3402570791968307E-3</v>
      </c>
    </row>
    <row r="1058" spans="1:4" x14ac:dyDescent="0.35">
      <c r="A1058" s="16">
        <v>45982</v>
      </c>
      <c r="B1058" s="17">
        <v>26068.15</v>
      </c>
      <c r="C1058" s="10"/>
      <c r="D1058" s="19">
        <f t="shared" si="231"/>
        <v>-4.7454849169532316E-3</v>
      </c>
    </row>
    <row r="1059" spans="1:4" x14ac:dyDescent="0.35">
      <c r="A1059" s="16">
        <v>45985</v>
      </c>
      <c r="B1059" s="17">
        <v>25959.5</v>
      </c>
      <c r="C1059" s="10"/>
      <c r="D1059" s="19">
        <f t="shared" si="231"/>
        <v>-4.1766313851615104E-3</v>
      </c>
    </row>
    <row r="1060" spans="1:4" x14ac:dyDescent="0.35">
      <c r="A1060" s="16">
        <v>45986</v>
      </c>
      <c r="B1060" s="17">
        <v>25884.799999999999</v>
      </c>
      <c r="C1060" s="10"/>
      <c r="D1060" s="19">
        <f t="shared" si="231"/>
        <v>-2.8817074082925676E-3</v>
      </c>
    </row>
    <row r="1061" spans="1:4" x14ac:dyDescent="0.35">
      <c r="A1061" s="16">
        <v>45987</v>
      </c>
      <c r="B1061" s="17">
        <v>26205.3</v>
      </c>
      <c r="C1061" s="10"/>
      <c r="D1061" s="19">
        <f t="shared" si="231"/>
        <v>1.2305756544011975E-2</v>
      </c>
    </row>
    <row r="1062" spans="1:4" x14ac:dyDescent="0.35">
      <c r="A1062" s="16">
        <v>45988</v>
      </c>
      <c r="B1062" s="17">
        <v>26215.55</v>
      </c>
      <c r="C1062" s="10"/>
      <c r="D1062" s="19">
        <f t="shared" si="231"/>
        <v>3.9106577366173836E-4</v>
      </c>
    </row>
    <row r="1063" spans="1:4" x14ac:dyDescent="0.35">
      <c r="A1063" s="16">
        <v>45989</v>
      </c>
      <c r="B1063" s="17">
        <v>26202.95</v>
      </c>
      <c r="C1063" s="10"/>
      <c r="D1063" s="19">
        <f t="shared" si="231"/>
        <v>-4.8074631066023429E-4</v>
      </c>
    </row>
    <row r="1064" spans="1:4" x14ac:dyDescent="0.35">
      <c r="A1064" s="16">
        <v>45992</v>
      </c>
      <c r="B1064" s="17">
        <v>26175.75</v>
      </c>
      <c r="C1064" s="10"/>
      <c r="D1064" s="19">
        <f t="shared" si="231"/>
        <v>-1.0385902072783048E-3</v>
      </c>
    </row>
    <row r="1065" spans="1:4" x14ac:dyDescent="0.35">
      <c r="A1065" s="16">
        <v>45993</v>
      </c>
      <c r="B1065" s="17">
        <v>26032.2</v>
      </c>
      <c r="C1065" s="10"/>
      <c r="D1065" s="19">
        <f t="shared" si="231"/>
        <v>-5.4991763421880138E-3</v>
      </c>
    </row>
    <row r="1066" spans="1:4" x14ac:dyDescent="0.35">
      <c r="A1066" s="16">
        <v>45994</v>
      </c>
      <c r="B1066" s="17">
        <v>25986</v>
      </c>
      <c r="C1066" s="10"/>
      <c r="D1066" s="19">
        <f t="shared" si="231"/>
        <v>-1.7763018384990476E-3</v>
      </c>
    </row>
    <row r="1067" spans="1:4" x14ac:dyDescent="0.35">
      <c r="A1067" s="16">
        <v>45995</v>
      </c>
      <c r="B1067" s="17">
        <v>26033.75</v>
      </c>
      <c r="C1067" s="10"/>
      <c r="D1067" s="19">
        <f t="shared" si="231"/>
        <v>1.8358417105443499E-3</v>
      </c>
    </row>
    <row r="1068" spans="1:4" x14ac:dyDescent="0.35">
      <c r="A1068" s="16">
        <v>45996</v>
      </c>
      <c r="B1068" s="17">
        <v>26186.45</v>
      </c>
      <c r="C1068" s="10"/>
      <c r="D1068" s="19">
        <f t="shared" si="231"/>
        <v>5.8483282420290989E-3</v>
      </c>
    </row>
    <row r="1069" spans="1:4" x14ac:dyDescent="0.35">
      <c r="A1069" s="16">
        <v>45999</v>
      </c>
      <c r="B1069" s="17">
        <v>25960.55</v>
      </c>
      <c r="C1069" s="10"/>
      <c r="D1069" s="19">
        <f t="shared" si="231"/>
        <v>-8.6640233609803375E-3</v>
      </c>
    </row>
    <row r="1070" spans="1:4" x14ac:dyDescent="0.35">
      <c r="A1070" s="16">
        <v>46000</v>
      </c>
      <c r="B1070" s="17">
        <v>25839.65</v>
      </c>
      <c r="C1070" s="10"/>
      <c r="D1070" s="19">
        <f t="shared" si="231"/>
        <v>-4.6679441211103243E-3</v>
      </c>
    </row>
    <row r="1071" spans="1:4" x14ac:dyDescent="0.35">
      <c r="A1071" s="16">
        <v>46001</v>
      </c>
      <c r="B1071" s="17">
        <v>25758</v>
      </c>
      <c r="C1071" s="10"/>
      <c r="D1071" s="19">
        <f t="shared" si="231"/>
        <v>-3.1648754605488705E-3</v>
      </c>
    </row>
    <row r="1072" spans="1:4" x14ac:dyDescent="0.35">
      <c r="A1072" s="16">
        <v>46002</v>
      </c>
      <c r="B1072" s="17">
        <v>25898.55</v>
      </c>
      <c r="C1072" s="10"/>
      <c r="D1072" s="19">
        <f t="shared" si="231"/>
        <v>5.441724111835208E-3</v>
      </c>
    </row>
    <row r="1073" spans="1:4" x14ac:dyDescent="0.35">
      <c r="A1073" s="16">
        <v>46003</v>
      </c>
      <c r="B1073" s="17">
        <v>26046.95</v>
      </c>
      <c r="C1073" s="10"/>
      <c r="D1073" s="19">
        <f t="shared" si="231"/>
        <v>5.7136962287779947E-3</v>
      </c>
    </row>
    <row r="1074" spans="1:4" x14ac:dyDescent="0.35">
      <c r="A1074" s="16">
        <v>46006</v>
      </c>
      <c r="B1074" s="17">
        <v>26027.3</v>
      </c>
      <c r="C1074" s="10"/>
      <c r="D1074" s="19">
        <f t="shared" si="231"/>
        <v>-7.5469165403843695E-4</v>
      </c>
    </row>
    <row r="1075" spans="1:4" x14ac:dyDescent="0.35">
      <c r="A1075" s="16">
        <v>46007</v>
      </c>
      <c r="B1075" s="17">
        <v>25860.1</v>
      </c>
      <c r="C1075" s="10"/>
      <c r="D1075" s="19">
        <f t="shared" si="231"/>
        <v>-6.4447468447940094E-3</v>
      </c>
    </row>
    <row r="1076" spans="1:4" x14ac:dyDescent="0.35">
      <c r="A1076" s="16">
        <v>46008</v>
      </c>
      <c r="B1076" s="17">
        <v>25818.55</v>
      </c>
      <c r="C1076" s="10"/>
      <c r="D1076" s="19">
        <f t="shared" si="231"/>
        <v>-1.6080144877245483E-3</v>
      </c>
    </row>
    <row r="1077" spans="1:4" x14ac:dyDescent="0.35">
      <c r="A1077" s="16">
        <v>46009</v>
      </c>
      <c r="B1077" s="17">
        <v>25815.55</v>
      </c>
      <c r="C1077" s="10"/>
      <c r="D1077" s="19">
        <f t="shared" si="231"/>
        <v>-1.1620227730800423E-4</v>
      </c>
    </row>
    <row r="1078" spans="1:4" x14ac:dyDescent="0.35">
      <c r="A1078" s="16">
        <v>46010</v>
      </c>
      <c r="B1078" s="17">
        <v>25966.400000000001</v>
      </c>
      <c r="C1078" s="10"/>
      <c r="D1078" s="19">
        <f t="shared" si="231"/>
        <v>5.8263710322537339E-3</v>
      </c>
    </row>
    <row r="1079" spans="1:4" x14ac:dyDescent="0.35">
      <c r="A1079" s="16">
        <v>46013</v>
      </c>
      <c r="B1079" s="17">
        <v>26172.400000000001</v>
      </c>
      <c r="C1079" s="10"/>
      <c r="D1079" s="19">
        <f t="shared" si="231"/>
        <v>7.9020258203139574E-3</v>
      </c>
    </row>
    <row r="1080" spans="1:4" x14ac:dyDescent="0.35">
      <c r="A1080" s="16">
        <v>46014</v>
      </c>
      <c r="B1080" s="17">
        <v>26177.15</v>
      </c>
      <c r="C1080" s="10"/>
      <c r="D1080" s="19">
        <f t="shared" si="231"/>
        <v>1.8147242958299996E-4</v>
      </c>
    </row>
    <row r="1081" spans="1:4" x14ac:dyDescent="0.35">
      <c r="A1081" s="16">
        <v>46015</v>
      </c>
      <c r="B1081" s="17">
        <v>26142.1</v>
      </c>
      <c r="C1081" s="10"/>
      <c r="D1081" s="19">
        <f t="shared" si="231"/>
        <v>-1.3398512113031755E-3</v>
      </c>
    </row>
    <row r="1082" spans="1:4" x14ac:dyDescent="0.35">
      <c r="A1082" s="16">
        <v>46017</v>
      </c>
      <c r="B1082" s="17">
        <v>26042.3</v>
      </c>
      <c r="C1082" s="10"/>
      <c r="D1082" s="19">
        <f t="shared" si="231"/>
        <v>-3.8249025253447363E-3</v>
      </c>
    </row>
    <row r="1083" spans="1:4" x14ac:dyDescent="0.35">
      <c r="A1083" s="16">
        <v>46020</v>
      </c>
      <c r="B1083" s="17">
        <v>25942.1</v>
      </c>
      <c r="C1083" s="10"/>
      <c r="D1083" s="19">
        <f t="shared" si="231"/>
        <v>-3.8550074287673655E-3</v>
      </c>
    </row>
    <row r="1084" spans="1:4" x14ac:dyDescent="0.35">
      <c r="A1084" s="16">
        <v>46021</v>
      </c>
      <c r="B1084" s="17">
        <v>25938.85</v>
      </c>
      <c r="C1084" s="10"/>
      <c r="D1084" s="19">
        <f t="shared" si="231"/>
        <v>-1.2528683473419944E-4</v>
      </c>
    </row>
    <row r="1085" spans="1:4" x14ac:dyDescent="0.35">
      <c r="A1085" s="16">
        <v>46022</v>
      </c>
      <c r="B1085" s="17">
        <v>26129.599999999999</v>
      </c>
      <c r="C1085" s="10"/>
      <c r="D1085" s="19">
        <f t="shared" si="231"/>
        <v>7.3269265111137747E-3</v>
      </c>
    </row>
    <row r="1086" spans="1:4" x14ac:dyDescent="0.35">
      <c r="A1086" s="16">
        <v>46023</v>
      </c>
      <c r="B1086" s="17">
        <v>26146.55</v>
      </c>
      <c r="C1086" s="10"/>
      <c r="D1086" s="19">
        <f t="shared" si="231"/>
        <v>6.4847930056033236E-4</v>
      </c>
    </row>
    <row r="1087" spans="1:4" x14ac:dyDescent="0.35">
      <c r="A1087" s="16">
        <v>46024</v>
      </c>
      <c r="B1087" s="17">
        <v>26328.55</v>
      </c>
      <c r="C1087" s="10"/>
      <c r="D1087" s="19">
        <f t="shared" si="231"/>
        <v>6.9366510888350273E-3</v>
      </c>
    </row>
    <row r="1088" spans="1:4" x14ac:dyDescent="0.35">
      <c r="A1088" s="16">
        <v>46027</v>
      </c>
      <c r="B1088" s="17">
        <v>26250.3</v>
      </c>
      <c r="C1088" s="10"/>
      <c r="D1088" s="19">
        <f t="shared" si="231"/>
        <v>-2.9764841859812588E-3</v>
      </c>
    </row>
    <row r="1089" spans="1:4" x14ac:dyDescent="0.35">
      <c r="A1089" s="16">
        <v>46028</v>
      </c>
      <c r="B1089" s="17">
        <v>26178.7</v>
      </c>
      <c r="C1089" s="10"/>
      <c r="D1089" s="19">
        <f t="shared" si="231"/>
        <v>-2.7313145210397867E-3</v>
      </c>
    </row>
    <row r="1090" spans="1:4" x14ac:dyDescent="0.35">
      <c r="A1090" s="16">
        <v>46029</v>
      </c>
      <c r="B1090" s="17">
        <v>26140.75</v>
      </c>
      <c r="C1090" s="10"/>
      <c r="D1090" s="19">
        <f t="shared" si="231"/>
        <v>-1.4507035779470466E-3</v>
      </c>
    </row>
    <row r="1091" spans="1:4" x14ac:dyDescent="0.35">
      <c r="A1091" s="16">
        <v>46030</v>
      </c>
      <c r="B1091" s="17">
        <v>25876.85</v>
      </c>
      <c r="C1091" s="10"/>
      <c r="D1091" s="19">
        <f t="shared" ref="D1091:D1154" si="232">LN(B1091/B1090)</f>
        <v>-1.0146652830525118E-2</v>
      </c>
    </row>
    <row r="1092" spans="1:4" x14ac:dyDescent="0.35">
      <c r="A1092" s="16">
        <v>46031</v>
      </c>
      <c r="B1092" s="17">
        <v>25683.3</v>
      </c>
      <c r="C1092" s="10"/>
      <c r="D1092" s="19">
        <f t="shared" si="232"/>
        <v>-7.5077713756043106E-3</v>
      </c>
    </row>
    <row r="1093" spans="1:4" x14ac:dyDescent="0.35">
      <c r="A1093" s="16">
        <v>46034</v>
      </c>
      <c r="B1093" s="17">
        <v>25790.25</v>
      </c>
      <c r="C1093" s="10"/>
      <c r="D1093" s="19">
        <f t="shared" si="232"/>
        <v>4.1555382873515179E-3</v>
      </c>
    </row>
    <row r="1094" spans="1:4" x14ac:dyDescent="0.35">
      <c r="A1094" s="16">
        <v>46035</v>
      </c>
      <c r="B1094" s="17">
        <v>25732.3</v>
      </c>
      <c r="C1094" s="10"/>
      <c r="D1094" s="19">
        <f t="shared" si="232"/>
        <v>-2.2495014100358751E-3</v>
      </c>
    </row>
    <row r="1095" spans="1:4" x14ac:dyDescent="0.35">
      <c r="A1095" s="16">
        <v>46036</v>
      </c>
      <c r="B1095" s="17">
        <v>25665.599999999999</v>
      </c>
      <c r="C1095" s="10"/>
      <c r="D1095" s="19">
        <f t="shared" si="232"/>
        <v>-2.5954382355152226E-3</v>
      </c>
    </row>
    <row r="1096" spans="1:4" x14ac:dyDescent="0.35">
      <c r="A1096" s="16">
        <v>46038</v>
      </c>
      <c r="B1096" s="17">
        <v>25694.35</v>
      </c>
      <c r="C1096" s="10"/>
      <c r="D1096" s="19">
        <f t="shared" si="232"/>
        <v>1.1195494934444548E-3</v>
      </c>
    </row>
    <row r="1097" spans="1:4" x14ac:dyDescent="0.35">
      <c r="A1097" s="16">
        <v>46041</v>
      </c>
      <c r="B1097" s="17">
        <v>25585.5</v>
      </c>
      <c r="C1097" s="10"/>
      <c r="D1097" s="19">
        <f t="shared" si="232"/>
        <v>-4.245338606983875E-3</v>
      </c>
    </row>
    <row r="1098" spans="1:4" x14ac:dyDescent="0.35">
      <c r="A1098" s="16">
        <v>46042</v>
      </c>
      <c r="B1098" s="17">
        <v>25232.5</v>
      </c>
      <c r="C1098" s="10"/>
      <c r="D1098" s="19">
        <f t="shared" si="232"/>
        <v>-1.3892938636022806E-2</v>
      </c>
    </row>
    <row r="1099" spans="1:4" x14ac:dyDescent="0.35">
      <c r="A1099" s="16">
        <v>46043</v>
      </c>
      <c r="B1099" s="17">
        <v>25157.5</v>
      </c>
      <c r="C1099" s="10"/>
      <c r="D1099" s="19">
        <f t="shared" si="232"/>
        <v>-2.9767833055262707E-3</v>
      </c>
    </row>
    <row r="1100" spans="1:4" x14ac:dyDescent="0.35">
      <c r="A1100" s="16">
        <v>46044</v>
      </c>
      <c r="B1100" s="17">
        <v>25289.9</v>
      </c>
      <c r="C1100" s="10"/>
      <c r="D1100" s="19">
        <f t="shared" si="232"/>
        <v>5.2490437166370345E-3</v>
      </c>
    </row>
    <row r="1101" spans="1:4" x14ac:dyDescent="0.35">
      <c r="A1101" s="16">
        <v>46045</v>
      </c>
      <c r="B1101" s="17">
        <v>25048.65</v>
      </c>
      <c r="C1101" s="10"/>
      <c r="D1101" s="19">
        <f t="shared" si="232"/>
        <v>-9.5851726789207992E-3</v>
      </c>
    </row>
    <row r="1102" spans="1:4" x14ac:dyDescent="0.35">
      <c r="A1102" s="16">
        <v>46049</v>
      </c>
      <c r="B1102" s="17">
        <v>25175.4</v>
      </c>
      <c r="C1102" s="10"/>
      <c r="D1102" s="19">
        <f t="shared" si="232"/>
        <v>5.0473933938835411E-3</v>
      </c>
    </row>
    <row r="1103" spans="1:4" x14ac:dyDescent="0.35">
      <c r="A1103" s="16">
        <v>46050</v>
      </c>
      <c r="B1103" s="17">
        <v>25342.75</v>
      </c>
      <c r="C1103" s="10"/>
      <c r="D1103" s="19">
        <f t="shared" si="232"/>
        <v>6.6253658203434609E-3</v>
      </c>
    </row>
    <row r="1104" spans="1:4" x14ac:dyDescent="0.35">
      <c r="A1104" s="16">
        <v>46051</v>
      </c>
      <c r="B1104" s="17">
        <v>25418.9</v>
      </c>
      <c r="C1104" s="10"/>
      <c r="D1104" s="19">
        <f t="shared" si="232"/>
        <v>3.0002987343345821E-3</v>
      </c>
    </row>
    <row r="1105" spans="1:4" x14ac:dyDescent="0.35">
      <c r="A1105" s="16">
        <v>46052</v>
      </c>
      <c r="B1105" s="17">
        <v>25320.65</v>
      </c>
      <c r="C1105" s="10"/>
      <c r="D1105" s="19">
        <f t="shared" si="232"/>
        <v>-3.8727234591551612E-3</v>
      </c>
    </row>
    <row r="1106" spans="1:4" x14ac:dyDescent="0.35">
      <c r="A1106" s="16">
        <v>46054</v>
      </c>
      <c r="B1106" s="17">
        <v>24825.45</v>
      </c>
      <c r="C1106" s="10"/>
      <c r="D1106" s="19">
        <f t="shared" si="232"/>
        <v>-1.9750931697309907E-2</v>
      </c>
    </row>
    <row r="1107" spans="1:4" x14ac:dyDescent="0.35">
      <c r="A1107" s="16">
        <v>46055</v>
      </c>
      <c r="B1107" s="17">
        <v>25088.400000000001</v>
      </c>
      <c r="C1107" s="10"/>
      <c r="D1107" s="19">
        <f t="shared" si="232"/>
        <v>1.0536251263282424E-2</v>
      </c>
    </row>
    <row r="1108" spans="1:4" x14ac:dyDescent="0.35">
      <c r="A1108" s="16">
        <v>46056</v>
      </c>
      <c r="B1108" s="17">
        <v>25727.55</v>
      </c>
      <c r="C1108" s="10"/>
      <c r="D1108" s="19">
        <f t="shared" si="232"/>
        <v>2.5156814253504294E-2</v>
      </c>
    </row>
    <row r="1109" spans="1:4" x14ac:dyDescent="0.35">
      <c r="A1109" s="16">
        <v>46057</v>
      </c>
      <c r="B1109" s="17">
        <v>25776</v>
      </c>
      <c r="C1109" s="10"/>
      <c r="D1109" s="19">
        <f t="shared" si="232"/>
        <v>1.8814242626680484E-3</v>
      </c>
    </row>
    <row r="1110" spans="1:4" x14ac:dyDescent="0.35">
      <c r="A1110" s="16">
        <v>46058</v>
      </c>
      <c r="B1110" s="17">
        <v>25642.799999999999</v>
      </c>
      <c r="C1110" s="10"/>
      <c r="D1110" s="19">
        <f t="shared" si="232"/>
        <v>-5.180995976337489E-3</v>
      </c>
    </row>
    <row r="1111" spans="1:4" x14ac:dyDescent="0.35">
      <c r="A1111" s="16">
        <v>46059</v>
      </c>
      <c r="B1111" s="17">
        <v>25693.7</v>
      </c>
      <c r="C1111" s="10"/>
      <c r="D1111" s="19">
        <f t="shared" si="232"/>
        <v>1.9829952053364128E-3</v>
      </c>
    </row>
    <row r="1112" spans="1:4" x14ac:dyDescent="0.35">
      <c r="A1112" s="16">
        <v>46062</v>
      </c>
      <c r="B1112" s="17">
        <v>25867.3</v>
      </c>
      <c r="C1112" s="10"/>
      <c r="D1112" s="19">
        <f t="shared" si="232"/>
        <v>6.7337970937869094E-3</v>
      </c>
    </row>
    <row r="1113" spans="1:4" x14ac:dyDescent="0.35">
      <c r="A1113" s="16">
        <v>46063</v>
      </c>
      <c r="B1113" s="17">
        <v>25935.15</v>
      </c>
      <c r="C1113" s="10"/>
      <c r="D1113" s="19">
        <f t="shared" si="232"/>
        <v>2.6195687192277595E-3</v>
      </c>
    </row>
    <row r="1114" spans="1:4" x14ac:dyDescent="0.35">
      <c r="A1114" s="16">
        <v>46064</v>
      </c>
      <c r="B1114" s="17">
        <v>25953.85</v>
      </c>
      <c r="C1114" s="10"/>
      <c r="D1114" s="19">
        <f t="shared" si="232"/>
        <v>7.2076936574473247E-4</v>
      </c>
    </row>
    <row r="1115" spans="1:4" x14ac:dyDescent="0.35">
      <c r="A1115" s="16">
        <v>46065</v>
      </c>
      <c r="B1115" s="17">
        <v>25807.200000000001</v>
      </c>
      <c r="C1115" s="10"/>
      <c r="D1115" s="19">
        <f t="shared" si="232"/>
        <v>-5.6664380800878688E-3</v>
      </c>
    </row>
    <row r="1116" spans="1:4" x14ac:dyDescent="0.35">
      <c r="A1116" s="16">
        <v>46066</v>
      </c>
      <c r="B1116" s="17">
        <v>25471.1</v>
      </c>
      <c r="C1116" s="10"/>
      <c r="D1116" s="19">
        <f t="shared" si="232"/>
        <v>-1.3109046639111787E-2</v>
      </c>
    </row>
    <row r="1117" spans="1:4" x14ac:dyDescent="0.35">
      <c r="A1117" s="16">
        <v>46069</v>
      </c>
      <c r="B1117" s="17">
        <v>25682.75</v>
      </c>
      <c r="C1117" s="10"/>
      <c r="D1117" s="19">
        <f t="shared" si="232"/>
        <v>8.2750841925694364E-3</v>
      </c>
    </row>
    <row r="1118" spans="1:4" x14ac:dyDescent="0.35">
      <c r="A1118" s="16">
        <v>46070</v>
      </c>
      <c r="B1118" s="17">
        <v>25725.4</v>
      </c>
      <c r="C1118" s="10"/>
      <c r="D1118" s="19">
        <f t="shared" si="232"/>
        <v>1.6592703602544172E-3</v>
      </c>
    </row>
    <row r="1119" spans="1:4" x14ac:dyDescent="0.35">
      <c r="A1119" s="16">
        <v>46071</v>
      </c>
      <c r="B1119" s="17">
        <v>25819.35</v>
      </c>
      <c r="C1119" s="10"/>
      <c r="D1119" s="19">
        <f t="shared" si="232"/>
        <v>3.6453801421163674E-3</v>
      </c>
    </row>
    <row r="1120" spans="1:4" x14ac:dyDescent="0.35">
      <c r="A1120" s="16">
        <v>46072</v>
      </c>
      <c r="B1120" s="17">
        <v>25454.35</v>
      </c>
      <c r="C1120" s="10"/>
      <c r="D1120" s="19">
        <f t="shared" si="232"/>
        <v>-1.4237559048147537E-2</v>
      </c>
    </row>
    <row r="1121" spans="1:4" x14ac:dyDescent="0.35">
      <c r="A1121" s="16">
        <v>46073</v>
      </c>
      <c r="B1121" s="17">
        <v>25571.25</v>
      </c>
      <c r="C1121" s="10"/>
      <c r="D1121" s="19">
        <f t="shared" si="232"/>
        <v>4.5820217508651916E-3</v>
      </c>
    </row>
    <row r="1122" spans="1:4" x14ac:dyDescent="0.35">
      <c r="A1122" s="16">
        <v>46076</v>
      </c>
      <c r="B1122" s="17">
        <v>25713</v>
      </c>
      <c r="C1122" s="10"/>
      <c r="D1122" s="19">
        <f t="shared" si="232"/>
        <v>5.5280270640200302E-3</v>
      </c>
    </row>
    <row r="1123" spans="1:4" x14ac:dyDescent="0.35">
      <c r="A1123" s="16">
        <v>46077</v>
      </c>
      <c r="B1123" s="17">
        <v>25424.65</v>
      </c>
      <c r="C1123" s="10"/>
      <c r="D1123" s="19">
        <f t="shared" si="232"/>
        <v>-1.1277524723351435E-2</v>
      </c>
    </row>
    <row r="1124" spans="1:4" x14ac:dyDescent="0.35">
      <c r="A1124" s="16">
        <v>46078</v>
      </c>
      <c r="B1124" s="17">
        <v>25482.5</v>
      </c>
      <c r="C1124" s="10"/>
      <c r="D1124" s="19">
        <f t="shared" si="232"/>
        <v>2.2727661989268987E-3</v>
      </c>
    </row>
    <row r="1125" spans="1:4" x14ac:dyDescent="0.35">
      <c r="A1125" s="16">
        <v>46079</v>
      </c>
      <c r="B1125" s="17">
        <v>25496.55</v>
      </c>
      <c r="C1125" s="10"/>
      <c r="D1125" s="19">
        <f t="shared" si="232"/>
        <v>5.5120683322783769E-4</v>
      </c>
    </row>
    <row r="1126" spans="1:4" x14ac:dyDescent="0.35">
      <c r="A1126" s="16">
        <v>46080</v>
      </c>
      <c r="B1126" s="17">
        <v>25178.65</v>
      </c>
      <c r="C1126" s="10"/>
      <c r="D1126" s="19">
        <f t="shared" si="232"/>
        <v>-1.2546735694086916E-2</v>
      </c>
    </row>
    <row r="1127" spans="1:4" x14ac:dyDescent="0.35">
      <c r="A1127" s="16">
        <v>46083</v>
      </c>
      <c r="B1127" s="17">
        <v>24865.7</v>
      </c>
      <c r="C1127" s="10"/>
      <c r="D1127" s="19">
        <f t="shared" si="232"/>
        <v>-1.2507069408217645E-2</v>
      </c>
    </row>
    <row r="1128" spans="1:4" x14ac:dyDescent="0.35">
      <c r="A1128" s="16">
        <v>46085</v>
      </c>
      <c r="B1128" s="17">
        <v>24480.5</v>
      </c>
      <c r="C1128" s="10"/>
      <c r="D1128" s="19">
        <f t="shared" si="232"/>
        <v>-1.56124615192116E-2</v>
      </c>
    </row>
    <row r="1129" spans="1:4" x14ac:dyDescent="0.35">
      <c r="A1129" s="16">
        <v>46086</v>
      </c>
      <c r="B1129" s="17">
        <v>24765.9</v>
      </c>
      <c r="C1129" s="10"/>
      <c r="D1129" s="19">
        <f t="shared" si="232"/>
        <v>1.159082471886308E-2</v>
      </c>
    </row>
    <row r="1130" spans="1:4" x14ac:dyDescent="0.35">
      <c r="A1130" s="16">
        <v>46087</v>
      </c>
      <c r="B1130" s="17">
        <v>24450.45</v>
      </c>
      <c r="C1130" s="10"/>
      <c r="D1130" s="19">
        <f t="shared" si="232"/>
        <v>-1.2819086331517163E-2</v>
      </c>
    </row>
    <row r="1131" spans="1:4" x14ac:dyDescent="0.35">
      <c r="A1131" s="16">
        <v>46090</v>
      </c>
      <c r="B1131" s="17">
        <v>24028.05</v>
      </c>
      <c r="C1131" s="10"/>
      <c r="D1131" s="19">
        <f t="shared" si="232"/>
        <v>-1.7426722768128327E-2</v>
      </c>
    </row>
    <row r="1132" spans="1:4" x14ac:dyDescent="0.35">
      <c r="A1132" s="16">
        <v>46091</v>
      </c>
      <c r="B1132" s="17">
        <v>24261.599999999999</v>
      </c>
      <c r="C1132" s="10"/>
      <c r="D1132" s="19">
        <f t="shared" si="232"/>
        <v>9.6729556344604898E-3</v>
      </c>
    </row>
    <row r="1133" spans="1:4" x14ac:dyDescent="0.35">
      <c r="A1133" s="16">
        <v>46092</v>
      </c>
      <c r="B1133" s="17">
        <v>23866.85</v>
      </c>
      <c r="C1133" s="10"/>
      <c r="D1133" s="19">
        <f t="shared" si="232"/>
        <v>-1.6404386692587491E-2</v>
      </c>
    </row>
    <row r="1134" spans="1:4" x14ac:dyDescent="0.35">
      <c r="A1134" s="16">
        <v>46093</v>
      </c>
      <c r="B1134" s="17">
        <v>23639.15</v>
      </c>
      <c r="C1134" s="10"/>
      <c r="D1134" s="19">
        <f t="shared" si="232"/>
        <v>-9.5862309485363565E-3</v>
      </c>
    </row>
    <row r="1135" spans="1:4" x14ac:dyDescent="0.35">
      <c r="A1135" s="16">
        <v>46094</v>
      </c>
      <c r="B1135" s="17">
        <v>23151.1</v>
      </c>
      <c r="C1135" s="10"/>
      <c r="D1135" s="19">
        <f t="shared" si="232"/>
        <v>-2.0861940282608349E-2</v>
      </c>
    </row>
    <row r="1136" spans="1:4" x14ac:dyDescent="0.35">
      <c r="A1136" s="16">
        <v>46097</v>
      </c>
      <c r="B1136" s="17">
        <v>23408.799999999999</v>
      </c>
      <c r="C1136" s="10"/>
      <c r="D1136" s="19">
        <f t="shared" si="232"/>
        <v>1.1069724441647895E-2</v>
      </c>
    </row>
    <row r="1137" spans="1:4" x14ac:dyDescent="0.35">
      <c r="A1137" s="16">
        <v>46098</v>
      </c>
      <c r="B1137" s="17">
        <v>23581.15</v>
      </c>
      <c r="C1137" s="10"/>
      <c r="D1137" s="19">
        <f t="shared" si="232"/>
        <v>7.3356440204539039E-3</v>
      </c>
    </row>
    <row r="1138" spans="1:4" x14ac:dyDescent="0.35">
      <c r="A1138" s="16">
        <v>46099</v>
      </c>
      <c r="B1138" s="17">
        <v>23777.8</v>
      </c>
      <c r="C1138" s="10"/>
      <c r="D1138" s="19">
        <f t="shared" si="232"/>
        <v>8.3047082004444207E-3</v>
      </c>
    </row>
    <row r="1139" spans="1:4" x14ac:dyDescent="0.35">
      <c r="A1139" s="16">
        <v>46100</v>
      </c>
      <c r="B1139" s="17">
        <v>23002.15</v>
      </c>
      <c r="C1139" s="10"/>
      <c r="D1139" s="19">
        <f t="shared" si="232"/>
        <v>-3.3164682443435636E-2</v>
      </c>
    </row>
    <row r="1140" spans="1:4" x14ac:dyDescent="0.35">
      <c r="A1140" s="16">
        <v>46101</v>
      </c>
      <c r="B1140" s="17">
        <v>23114.5</v>
      </c>
      <c r="C1140" s="10"/>
      <c r="D1140" s="19">
        <f t="shared" si="232"/>
        <v>4.8724364094799378E-3</v>
      </c>
    </row>
    <row r="1141" spans="1:4" x14ac:dyDescent="0.35">
      <c r="A1141" s="16">
        <v>46104</v>
      </c>
      <c r="B1141" s="17">
        <v>22512.65</v>
      </c>
      <c r="C1141" s="10"/>
      <c r="D1141" s="19">
        <f t="shared" si="232"/>
        <v>-2.6382752785782303E-2</v>
      </c>
    </row>
    <row r="1142" spans="1:4" x14ac:dyDescent="0.35">
      <c r="A1142" s="16">
        <v>46105</v>
      </c>
      <c r="B1142" s="17">
        <v>22912.400000000001</v>
      </c>
      <c r="C1142" s="10"/>
      <c r="D1142" s="19">
        <f t="shared" si="232"/>
        <v>1.7600875281506459E-2</v>
      </c>
    </row>
    <row r="1143" spans="1:4" x14ac:dyDescent="0.35">
      <c r="A1143" s="16">
        <v>46106</v>
      </c>
      <c r="B1143" s="17">
        <v>23306.45</v>
      </c>
      <c r="C1143" s="10"/>
      <c r="D1143" s="19">
        <f t="shared" si="232"/>
        <v>1.7051897570883399E-2</v>
      </c>
    </row>
    <row r="1144" spans="1:4" x14ac:dyDescent="0.35">
      <c r="A1144" s="16">
        <v>46108</v>
      </c>
      <c r="B1144" s="17">
        <v>22819.599999999999</v>
      </c>
      <c r="C1144" s="10"/>
      <c r="D1144" s="19">
        <f t="shared" si="232"/>
        <v>-2.1110330500768722E-2</v>
      </c>
    </row>
    <row r="1145" spans="1:4" x14ac:dyDescent="0.35">
      <c r="A1145" s="16">
        <v>46111</v>
      </c>
      <c r="B1145" s="17">
        <v>22331.4</v>
      </c>
      <c r="C1145" s="10"/>
      <c r="D1145" s="19">
        <f t="shared" si="232"/>
        <v>-2.1626055984993561E-2</v>
      </c>
    </row>
    <row r="1146" spans="1:4" x14ac:dyDescent="0.35">
      <c r="A1146" s="16">
        <v>46113</v>
      </c>
      <c r="B1146" s="17">
        <v>22679.4</v>
      </c>
      <c r="C1146" s="10"/>
      <c r="D1146" s="19">
        <f t="shared" si="232"/>
        <v>1.5463263671631812E-2</v>
      </c>
    </row>
    <row r="1147" spans="1:4" x14ac:dyDescent="0.35">
      <c r="A1147" s="16">
        <v>46114</v>
      </c>
      <c r="B1147" s="17">
        <v>22713.1</v>
      </c>
      <c r="C1147" s="10"/>
      <c r="D1147" s="19">
        <f t="shared" si="232"/>
        <v>1.4848270613675759E-3</v>
      </c>
    </row>
    <row r="1148" spans="1:4" x14ac:dyDescent="0.35">
      <c r="A1148" s="16">
        <v>46118</v>
      </c>
      <c r="B1148" s="17">
        <v>22968.25</v>
      </c>
      <c r="C1148" s="10"/>
      <c r="D1148" s="19">
        <f t="shared" si="232"/>
        <v>1.1170976924161889E-2</v>
      </c>
    </row>
    <row r="1149" spans="1:4" x14ac:dyDescent="0.35">
      <c r="A1149" s="16">
        <v>46119</v>
      </c>
      <c r="B1149" s="17">
        <v>23123.65</v>
      </c>
      <c r="C1149" s="10"/>
      <c r="D1149" s="19">
        <f t="shared" si="232"/>
        <v>6.7430758473412617E-3</v>
      </c>
    </row>
    <row r="1150" spans="1:4" x14ac:dyDescent="0.35">
      <c r="A1150" s="16">
        <v>46120</v>
      </c>
      <c r="B1150" s="17">
        <v>23997.35</v>
      </c>
      <c r="C1150" s="10"/>
      <c r="D1150" s="19">
        <f t="shared" si="232"/>
        <v>3.7087504268883312E-2</v>
      </c>
    </row>
    <row r="1151" spans="1:4" x14ac:dyDescent="0.35">
      <c r="A1151" s="16">
        <v>46121</v>
      </c>
      <c r="B1151" s="17">
        <v>23775.1</v>
      </c>
      <c r="C1151" s="10"/>
      <c r="D1151" s="19">
        <f t="shared" si="232"/>
        <v>-9.3045930634583808E-3</v>
      </c>
    </row>
    <row r="1152" spans="1:4" x14ac:dyDescent="0.35">
      <c r="A1152" s="16">
        <v>46122</v>
      </c>
      <c r="B1152" s="17">
        <v>24050.6</v>
      </c>
      <c r="C1152" s="10"/>
      <c r="D1152" s="19">
        <f t="shared" si="232"/>
        <v>1.1521129744069802E-2</v>
      </c>
    </row>
    <row r="1153" spans="1:4" x14ac:dyDescent="0.35">
      <c r="A1153" s="16">
        <v>46125</v>
      </c>
      <c r="B1153" s="17">
        <v>23842.65</v>
      </c>
      <c r="C1153" s="10"/>
      <c r="D1153" s="19">
        <f t="shared" si="232"/>
        <v>-8.6839505278128153E-3</v>
      </c>
    </row>
    <row r="1154" spans="1:4" x14ac:dyDescent="0.35">
      <c r="A1154" s="16">
        <v>46127</v>
      </c>
      <c r="B1154" s="17">
        <v>24231.3</v>
      </c>
      <c r="C1154" s="10"/>
      <c r="D1154" s="19">
        <f t="shared" si="232"/>
        <v>1.6169192148386771E-2</v>
      </c>
    </row>
    <row r="1155" spans="1:4" x14ac:dyDescent="0.35">
      <c r="A1155" s="16">
        <v>46128</v>
      </c>
      <c r="B1155" s="17">
        <v>24196.75</v>
      </c>
      <c r="C1155" s="10"/>
      <c r="D1155" s="19">
        <f t="shared" ref="D1155:D1218" si="233">LN(B1155/B1154)</f>
        <v>-1.4268592628351902E-3</v>
      </c>
    </row>
    <row r="1156" spans="1:4" x14ac:dyDescent="0.35">
      <c r="A1156" s="16">
        <v>46129</v>
      </c>
      <c r="B1156" s="17">
        <v>24353.55</v>
      </c>
      <c r="C1156" s="10"/>
      <c r="D1156" s="19">
        <f t="shared" si="233"/>
        <v>6.4593028333434733E-3</v>
      </c>
    </row>
    <row r="1157" spans="1:4" x14ac:dyDescent="0.35">
      <c r="A1157" s="16">
        <v>46132</v>
      </c>
      <c r="B1157" s="17">
        <v>24364.85</v>
      </c>
      <c r="C1157" s="10"/>
      <c r="D1157" s="19">
        <f t="shared" si="233"/>
        <v>4.6389044807052763E-4</v>
      </c>
    </row>
    <row r="1158" spans="1:4" x14ac:dyDescent="0.35">
      <c r="A1158" s="16">
        <v>46133</v>
      </c>
      <c r="B1158" s="17">
        <v>24576.6</v>
      </c>
      <c r="C1158" s="10"/>
      <c r="D1158" s="19">
        <f t="shared" si="233"/>
        <v>8.6532508250691514E-3</v>
      </c>
    </row>
    <row r="1159" spans="1:4" x14ac:dyDescent="0.35">
      <c r="A1159" s="16">
        <v>46134</v>
      </c>
      <c r="B1159" s="17">
        <v>24378.1</v>
      </c>
      <c r="C1159" s="10"/>
      <c r="D1159" s="19">
        <f t="shared" si="233"/>
        <v>-8.1095824452783096E-3</v>
      </c>
    </row>
    <row r="1160" spans="1:4" x14ac:dyDescent="0.35">
      <c r="A1160" s="16">
        <v>46135</v>
      </c>
      <c r="B1160" s="17">
        <v>24173.05</v>
      </c>
      <c r="C1160" s="10"/>
      <c r="D1160" s="19">
        <f t="shared" si="233"/>
        <v>-8.4468120391927026E-3</v>
      </c>
    </row>
    <row r="1161" spans="1:4" x14ac:dyDescent="0.35">
      <c r="A1161" s="16">
        <v>46136</v>
      </c>
      <c r="B1161" s="17">
        <v>23897.95</v>
      </c>
      <c r="C1161" s="10"/>
      <c r="D1161" s="19">
        <f t="shared" si="233"/>
        <v>-1.1445695045189528E-2</v>
      </c>
    </row>
    <row r="1162" spans="1:4" x14ac:dyDescent="0.35">
      <c r="A1162" s="16">
        <v>46139</v>
      </c>
      <c r="B1162" s="17">
        <v>24092.7</v>
      </c>
      <c r="C1162" s="10"/>
      <c r="D1162" s="19">
        <f t="shared" si="233"/>
        <v>8.1162088473576682E-3</v>
      </c>
    </row>
    <row r="1163" spans="1:4" x14ac:dyDescent="0.35">
      <c r="A1163" s="16">
        <v>46140</v>
      </c>
      <c r="B1163" s="17">
        <v>23995.7</v>
      </c>
      <c r="C1163" s="10"/>
      <c r="D1163" s="19">
        <f t="shared" si="233"/>
        <v>-4.0342424184259592E-3</v>
      </c>
    </row>
    <row r="1164" spans="1:4" x14ac:dyDescent="0.35">
      <c r="A1164" s="16">
        <v>46141</v>
      </c>
      <c r="B1164" s="17">
        <v>24177.65</v>
      </c>
      <c r="C1164" s="10"/>
      <c r="D1164" s="19">
        <f t="shared" si="233"/>
        <v>7.5540050761180024E-3</v>
      </c>
    </row>
    <row r="1165" spans="1:4" x14ac:dyDescent="0.35">
      <c r="A1165" s="16">
        <v>46142</v>
      </c>
      <c r="B1165" s="17">
        <v>23997.55</v>
      </c>
      <c r="C1165" s="10"/>
      <c r="D1165" s="19">
        <f t="shared" si="233"/>
        <v>-7.476910901378273E-3</v>
      </c>
    </row>
    <row r="1166" spans="1:4" x14ac:dyDescent="0.35">
      <c r="A1166" s="16">
        <v>46146</v>
      </c>
      <c r="B1166" s="17">
        <v>24119.3</v>
      </c>
      <c r="C1166" s="10"/>
      <c r="D1166" s="19">
        <f t="shared" si="233"/>
        <v>5.0606080752246428E-3</v>
      </c>
    </row>
    <row r="1167" spans="1:4" x14ac:dyDescent="0.35">
      <c r="A1167" s="16">
        <v>46147</v>
      </c>
      <c r="B1167" s="17">
        <v>24032.799999999999</v>
      </c>
      <c r="C1167" s="10"/>
      <c r="D1167" s="19">
        <f t="shared" si="233"/>
        <v>-3.59278590325008E-3</v>
      </c>
    </row>
    <row r="1168" spans="1:4" x14ac:dyDescent="0.35">
      <c r="A1168" s="16">
        <v>46148</v>
      </c>
      <c r="B1168" s="17">
        <v>24330.95</v>
      </c>
      <c r="C1168" s="10"/>
      <c r="D1168" s="19">
        <f t="shared" si="233"/>
        <v>1.2329638502128454E-2</v>
      </c>
    </row>
    <row r="1169" spans="1:4" x14ac:dyDescent="0.35">
      <c r="A1169" s="16">
        <v>46149</v>
      </c>
      <c r="B1169" s="17">
        <v>24326.65</v>
      </c>
      <c r="C1169" s="10"/>
      <c r="D1169" s="19">
        <f t="shared" si="233"/>
        <v>-1.7674525711061125E-4</v>
      </c>
    </row>
    <row r="1170" spans="1:4" x14ac:dyDescent="0.35">
      <c r="A1170" s="16">
        <v>46150</v>
      </c>
      <c r="B1170" s="17">
        <v>24176.15</v>
      </c>
      <c r="C1170" s="10"/>
      <c r="D1170" s="19">
        <f t="shared" si="233"/>
        <v>-6.2058472092796453E-3</v>
      </c>
    </row>
    <row r="1171" spans="1:4" x14ac:dyDescent="0.35">
      <c r="A1171" s="16">
        <v>46153</v>
      </c>
      <c r="B1171" s="17">
        <v>23815.85</v>
      </c>
      <c r="C1171" s="10"/>
      <c r="D1171" s="19">
        <f t="shared" si="233"/>
        <v>-1.5015284604692003E-2</v>
      </c>
    </row>
    <row r="1172" spans="1:4" x14ac:dyDescent="0.35">
      <c r="A1172" s="16">
        <v>46154</v>
      </c>
      <c r="B1172" s="17">
        <v>23379.55</v>
      </c>
      <c r="C1172" s="10"/>
      <c r="D1172" s="19">
        <f t="shared" si="233"/>
        <v>-1.84896167679287E-2</v>
      </c>
    </row>
    <row r="1173" spans="1:4" x14ac:dyDescent="0.35">
      <c r="A1173" s="16">
        <v>46155</v>
      </c>
      <c r="B1173" s="17">
        <v>23412.6</v>
      </c>
      <c r="C1173" s="10"/>
      <c r="D1173" s="19">
        <f t="shared" si="233"/>
        <v>1.4126303448764603E-3</v>
      </c>
    </row>
    <row r="1174" spans="1:4" x14ac:dyDescent="0.35">
      <c r="A1174" s="16">
        <v>46156</v>
      </c>
      <c r="B1174" s="17">
        <v>23689.599999999999</v>
      </c>
      <c r="C1174" s="10"/>
      <c r="D1174" s="19">
        <f t="shared" si="233"/>
        <v>1.1761794282919329E-2</v>
      </c>
    </row>
    <row r="1175" spans="1:4" x14ac:dyDescent="0.35">
      <c r="A1175" s="16">
        <v>46157</v>
      </c>
      <c r="B1175" s="17">
        <v>23643.5</v>
      </c>
      <c r="C1175" s="10"/>
      <c r="D1175" s="19">
        <f t="shared" si="233"/>
        <v>-1.9478975421618667E-3</v>
      </c>
    </row>
    <row r="1176" spans="1:4" x14ac:dyDescent="0.35">
      <c r="A1176" s="16">
        <v>46160</v>
      </c>
      <c r="B1176" s="17">
        <v>23649.95</v>
      </c>
      <c r="C1176" s="10"/>
      <c r="D1176" s="19">
        <f t="shared" si="233"/>
        <v>2.7276504632216535E-4</v>
      </c>
    </row>
    <row r="1177" spans="1:4" x14ac:dyDescent="0.35">
      <c r="A1177" s="16">
        <v>46161</v>
      </c>
      <c r="B1177" s="17">
        <v>23618</v>
      </c>
      <c r="C1177" s="10"/>
      <c r="D1177" s="19">
        <f t="shared" si="233"/>
        <v>-1.3518675917124454E-3</v>
      </c>
    </row>
    <row r="1178" spans="1:4" x14ac:dyDescent="0.35">
      <c r="A1178" s="16">
        <v>46162</v>
      </c>
      <c r="B1178" s="17">
        <v>23659</v>
      </c>
      <c r="C1178" s="10"/>
      <c r="D1178" s="19">
        <f t="shared" si="233"/>
        <v>1.7344590510618102E-3</v>
      </c>
    </row>
    <row r="1179" spans="1:4" x14ac:dyDescent="0.35">
      <c r="A1179" s="16">
        <v>46163</v>
      </c>
      <c r="B1179" s="17">
        <v>23654.7</v>
      </c>
      <c r="C1179" s="10"/>
      <c r="D1179" s="19">
        <f t="shared" si="233"/>
        <v>-1.8176553564142739E-4</v>
      </c>
    </row>
    <row r="1180" spans="1:4" x14ac:dyDescent="0.35">
      <c r="A1180" s="16">
        <v>46164</v>
      </c>
      <c r="B1180" s="17">
        <v>23719.3</v>
      </c>
      <c r="C1180" s="10"/>
      <c r="D1180" s="19">
        <f t="shared" si="233"/>
        <v>2.7272360383433312E-3</v>
      </c>
    </row>
    <row r="1181" spans="1:4" x14ac:dyDescent="0.35">
      <c r="A1181" s="16">
        <v>46167</v>
      </c>
      <c r="B1181" s="17">
        <v>24031.7</v>
      </c>
      <c r="C1181" s="10"/>
      <c r="D1181" s="19">
        <f t="shared" si="233"/>
        <v>1.3084729415427099E-2</v>
      </c>
    </row>
    <row r="1182" spans="1:4" x14ac:dyDescent="0.35">
      <c r="A1182" s="16">
        <v>46168</v>
      </c>
      <c r="B1182" s="17">
        <v>23913.7</v>
      </c>
      <c r="C1182" s="10"/>
      <c r="D1182" s="19">
        <f t="shared" si="233"/>
        <v>-4.9222756823281708E-3</v>
      </c>
    </row>
    <row r="1183" spans="1:4" x14ac:dyDescent="0.35">
      <c r="A1183" s="16">
        <v>46169</v>
      </c>
      <c r="B1183" s="17">
        <v>23907.15</v>
      </c>
      <c r="C1183" s="10"/>
      <c r="D1183" s="19">
        <f t="shared" si="233"/>
        <v>-2.7393908895215999E-4</v>
      </c>
    </row>
    <row r="1184" spans="1:4" x14ac:dyDescent="0.35">
      <c r="A1184" s="16">
        <v>46171</v>
      </c>
      <c r="B1184" s="17">
        <v>23547.75</v>
      </c>
      <c r="C1184" s="10"/>
      <c r="D1184" s="19">
        <f t="shared" si="233"/>
        <v>-1.514730288021764E-2</v>
      </c>
    </row>
    <row r="1185" spans="1:4" x14ac:dyDescent="0.35">
      <c r="A1185" s="16">
        <v>46174</v>
      </c>
      <c r="B1185" s="17">
        <v>23382.6</v>
      </c>
      <c r="C1185" s="10"/>
      <c r="D1185" s="19">
        <f t="shared" si="233"/>
        <v>-7.0381184766963537E-3</v>
      </c>
    </row>
    <row r="1186" spans="1:4" x14ac:dyDescent="0.35">
      <c r="A1186" s="16">
        <v>46175</v>
      </c>
      <c r="B1186" s="17">
        <v>23483.55</v>
      </c>
      <c r="C1186" s="10"/>
      <c r="D1186" s="19">
        <f t="shared" si="233"/>
        <v>4.3080200156337288E-3</v>
      </c>
    </row>
    <row r="1187" spans="1:4" x14ac:dyDescent="0.35">
      <c r="A1187" s="16">
        <v>46176</v>
      </c>
      <c r="B1187" s="17">
        <v>23405.599999999999</v>
      </c>
      <c r="C1187" s="10"/>
      <c r="D1187" s="19">
        <f t="shared" si="233"/>
        <v>-3.3248660643112335E-3</v>
      </c>
    </row>
    <row r="1188" spans="1:4" x14ac:dyDescent="0.35">
      <c r="A1188" s="16">
        <v>46177</v>
      </c>
      <c r="B1188" s="17">
        <v>23416.55</v>
      </c>
      <c r="C1188" s="10"/>
      <c r="D1188" s="19">
        <f t="shared" si="233"/>
        <v>4.677273555198729E-4</v>
      </c>
    </row>
    <row r="1189" spans="1:4" x14ac:dyDescent="0.35">
      <c r="A1189" s="16">
        <v>46178</v>
      </c>
      <c r="B1189" s="17">
        <v>23366.7</v>
      </c>
      <c r="C1189" s="10"/>
      <c r="D1189" s="19">
        <f t="shared" si="233"/>
        <v>-2.1311054219877008E-3</v>
      </c>
    </row>
    <row r="1190" spans="1:4" x14ac:dyDescent="0.35">
      <c r="A1190" s="16">
        <v>46181</v>
      </c>
      <c r="B1190" s="17">
        <v>23123</v>
      </c>
      <c r="C1190" s="10"/>
      <c r="D1190" s="19">
        <f t="shared" si="233"/>
        <v>-1.0484138733110175E-2</v>
      </c>
    </row>
    <row r="1191" spans="1:4" x14ac:dyDescent="0.35">
      <c r="A1191" s="16">
        <v>46182</v>
      </c>
      <c r="B1191" s="17">
        <v>23242.1</v>
      </c>
      <c r="C1191" s="10"/>
      <c r="D1191" s="19">
        <f t="shared" si="233"/>
        <v>5.1374961753134028E-3</v>
      </c>
    </row>
    <row r="1192" spans="1:4" x14ac:dyDescent="0.35">
      <c r="A1192" s="16">
        <v>46183</v>
      </c>
      <c r="B1192" s="17">
        <v>23214.95</v>
      </c>
      <c r="C1192" s="10"/>
      <c r="D1192" s="19">
        <f t="shared" si="233"/>
        <v>-1.1688216574620206E-3</v>
      </c>
    </row>
    <row r="1193" spans="1:4" x14ac:dyDescent="0.35">
      <c r="A1193" s="16">
        <v>46184</v>
      </c>
      <c r="B1193" s="17">
        <v>23161.599999999999</v>
      </c>
      <c r="C1193" s="10"/>
      <c r="D1193" s="19">
        <f t="shared" si="233"/>
        <v>-2.3007327424504793E-3</v>
      </c>
    </row>
    <row r="1194" spans="1:4" x14ac:dyDescent="0.35">
      <c r="A1194" s="16">
        <v>46185</v>
      </c>
      <c r="B1194" s="17">
        <v>23622.9</v>
      </c>
      <c r="C1194" s="10"/>
      <c r="D1194" s="19">
        <f t="shared" si="233"/>
        <v>1.9720845592834733E-2</v>
      </c>
    </row>
    <row r="1195" spans="1:4" x14ac:dyDescent="0.35">
      <c r="A1195" s="16">
        <v>46188</v>
      </c>
      <c r="B1195" s="17">
        <v>23853.9</v>
      </c>
      <c r="C1195" s="10"/>
      <c r="D1195" s="19">
        <f t="shared" si="233"/>
        <v>9.7311454385957067E-3</v>
      </c>
    </row>
    <row r="1196" spans="1:4" x14ac:dyDescent="0.35">
      <c r="A1196" s="16">
        <v>46189</v>
      </c>
      <c r="B1196" s="17">
        <v>23989.15</v>
      </c>
      <c r="C1196" s="10"/>
      <c r="D1196" s="19">
        <f t="shared" si="233"/>
        <v>5.6539188154709078E-3</v>
      </c>
    </row>
    <row r="1197" spans="1:4" x14ac:dyDescent="0.35">
      <c r="A1197" s="16">
        <v>46190</v>
      </c>
      <c r="B1197" s="17">
        <v>24085.7</v>
      </c>
      <c r="C1197" s="10"/>
      <c r="D1197" s="19">
        <f t="shared" si="233"/>
        <v>4.0166585983226755E-3</v>
      </c>
    </row>
    <row r="1198" spans="1:4" x14ac:dyDescent="0.35">
      <c r="A1198" s="16">
        <v>46191</v>
      </c>
      <c r="B1198" s="17">
        <v>24168</v>
      </c>
      <c r="C1198" s="10"/>
      <c r="D1198" s="19">
        <f t="shared" si="233"/>
        <v>3.4111406919150548E-3</v>
      </c>
    </row>
    <row r="1199" spans="1:4" x14ac:dyDescent="0.35">
      <c r="A1199" s="16">
        <v>46192</v>
      </c>
      <c r="B1199" s="17">
        <v>24013.1</v>
      </c>
      <c r="C1199" s="10"/>
      <c r="D1199" s="19">
        <f t="shared" si="233"/>
        <v>-6.4299293159206534E-3</v>
      </c>
    </row>
    <row r="1200" spans="1:4" x14ac:dyDescent="0.35">
      <c r="A1200" s="16">
        <v>46195</v>
      </c>
      <c r="B1200" s="17">
        <v>24102.9</v>
      </c>
      <c r="C1200" s="10"/>
      <c r="D1200" s="19">
        <f t="shared" si="233"/>
        <v>3.7326504390581355E-3</v>
      </c>
    </row>
    <row r="1201" spans="1:4" x14ac:dyDescent="0.35">
      <c r="A1201" s="16">
        <v>46196</v>
      </c>
      <c r="B1201" s="17">
        <v>23824.1</v>
      </c>
      <c r="C1201" s="10"/>
      <c r="D1201" s="19">
        <f t="shared" si="233"/>
        <v>-1.1634491826712961E-2</v>
      </c>
    </row>
    <row r="1202" spans="1:4" x14ac:dyDescent="0.35">
      <c r="A1202" s="16">
        <v>46197</v>
      </c>
      <c r="B1202" s="17">
        <v>24021.65</v>
      </c>
      <c r="C1202" s="10"/>
      <c r="D1202" s="19">
        <f t="shared" si="233"/>
        <v>8.2578336678393992E-3</v>
      </c>
    </row>
    <row r="1203" spans="1:4" x14ac:dyDescent="0.35">
      <c r="A1203" s="16">
        <v>46198</v>
      </c>
      <c r="B1203" s="17">
        <v>24056</v>
      </c>
      <c r="C1203" s="10"/>
      <c r="D1203" s="19">
        <f t="shared" si="233"/>
        <v>1.428938637593024E-3</v>
      </c>
    </row>
    <row r="1204" spans="1:4" x14ac:dyDescent="0.35">
      <c r="A1204" s="16">
        <v>46202</v>
      </c>
      <c r="B1204" s="17">
        <v>23946.25</v>
      </c>
      <c r="C1204" s="10"/>
      <c r="D1204" s="19">
        <f t="shared" si="233"/>
        <v>-4.572710289054184E-3</v>
      </c>
    </row>
    <row r="1205" spans="1:4" x14ac:dyDescent="0.35">
      <c r="A1205" s="16">
        <v>46203</v>
      </c>
      <c r="B1205" s="17">
        <v>23865.75</v>
      </c>
      <c r="C1205" s="10"/>
      <c r="D1205" s="19">
        <f t="shared" si="233"/>
        <v>-3.3673586575118332E-3</v>
      </c>
    </row>
    <row r="1206" spans="1:4" x14ac:dyDescent="0.35">
      <c r="A1206" s="16">
        <v>46204</v>
      </c>
      <c r="B1206" s="17">
        <v>24005.85</v>
      </c>
      <c r="C1206" s="10"/>
      <c r="D1206" s="19">
        <f t="shared" si="233"/>
        <v>5.8531739060789078E-3</v>
      </c>
    </row>
    <row r="1207" spans="1:4" x14ac:dyDescent="0.35">
      <c r="A1207" s="16">
        <v>46205</v>
      </c>
      <c r="B1207" s="17">
        <v>24175.7</v>
      </c>
      <c r="C1207" s="10"/>
      <c r="D1207" s="19">
        <f t="shared" si="233"/>
        <v>7.0504458069889546E-3</v>
      </c>
    </row>
    <row r="1208" spans="1:4" x14ac:dyDescent="0.35">
      <c r="A1208" s="16">
        <v>46206</v>
      </c>
      <c r="B1208" s="17">
        <v>24270.85</v>
      </c>
      <c r="C1208" s="10"/>
      <c r="D1208" s="19">
        <f t="shared" si="233"/>
        <v>3.9280453342234525E-3</v>
      </c>
    </row>
    <row r="1209" spans="1:4" x14ac:dyDescent="0.35">
      <c r="A1209" s="16">
        <v>46209</v>
      </c>
      <c r="B1209" s="17">
        <v>24430.35</v>
      </c>
      <c r="C1209" s="10"/>
      <c r="D1209" s="19">
        <f t="shared" si="233"/>
        <v>6.5501700276348719E-3</v>
      </c>
    </row>
    <row r="1210" spans="1:4" x14ac:dyDescent="0.35">
      <c r="A1210" s="16">
        <v>46210</v>
      </c>
      <c r="B1210" s="17">
        <v>24398.7</v>
      </c>
      <c r="C1210" s="10"/>
      <c r="D1210" s="19">
        <f t="shared" si="233"/>
        <v>-1.2963596233162159E-3</v>
      </c>
    </row>
    <row r="1211" spans="1:4" x14ac:dyDescent="0.35">
      <c r="A1211" s="16">
        <v>46211</v>
      </c>
      <c r="B1211" s="17">
        <v>23882.05</v>
      </c>
      <c r="C1211" s="10"/>
      <c r="D1211" s="19">
        <f t="shared" si="233"/>
        <v>-2.1402721455271209E-2</v>
      </c>
    </row>
    <row r="1212" spans="1:4" x14ac:dyDescent="0.35">
      <c r="A1212" s="16">
        <v>46212</v>
      </c>
      <c r="B1212" s="17">
        <v>23962.799999999999</v>
      </c>
      <c r="C1212" s="10"/>
      <c r="D1212" s="19">
        <f t="shared" si="233"/>
        <v>3.37549711920856E-3</v>
      </c>
    </row>
    <row r="1213" spans="1:4" x14ac:dyDescent="0.35">
      <c r="A1213" s="16">
        <v>46213</v>
      </c>
      <c r="B1213" s="17">
        <v>24206.9</v>
      </c>
      <c r="C1213" s="10"/>
      <c r="D1213" s="19">
        <f t="shared" si="233"/>
        <v>1.0135088634260337E-2</v>
      </c>
    </row>
    <row r="1214" spans="1:4" x14ac:dyDescent="0.35">
      <c r="A1214" s="16">
        <v>46216</v>
      </c>
      <c r="B1214" s="17">
        <v>24211</v>
      </c>
      <c r="C1214" s="10"/>
      <c r="D1214" s="19">
        <f t="shared" si="233"/>
        <v>1.6935885322568231E-4</v>
      </c>
    </row>
    <row r="1215" spans="1:4" x14ac:dyDescent="0.35">
      <c r="A1215" s="16">
        <v>46217</v>
      </c>
      <c r="B1215" s="17">
        <v>24052.05</v>
      </c>
      <c r="C1215" s="10"/>
      <c r="D1215" s="19">
        <f t="shared" si="233"/>
        <v>-6.5868433383303275E-3</v>
      </c>
    </row>
    <row r="1216" spans="1:4" x14ac:dyDescent="0.35">
      <c r="A1216" s="16">
        <v>46218</v>
      </c>
      <c r="B1216" s="17">
        <v>24078.5</v>
      </c>
      <c r="C1216" s="10"/>
      <c r="D1216" s="19">
        <f t="shared" si="233"/>
        <v>1.0990941372017902E-3</v>
      </c>
    </row>
    <row r="1217" spans="1:4" x14ac:dyDescent="0.35">
      <c r="A1217" s="16">
        <v>46219</v>
      </c>
      <c r="B1217" s="17">
        <v>24072.75</v>
      </c>
      <c r="C1217" s="10"/>
      <c r="D1217" s="19">
        <f t="shared" si="233"/>
        <v>-2.3883076876853854E-4</v>
      </c>
    </row>
    <row r="1218" spans="1:4" x14ac:dyDescent="0.35">
      <c r="A1218" s="16">
        <v>46220</v>
      </c>
      <c r="B1218" s="17">
        <v>24334.3</v>
      </c>
      <c r="C1218" s="10"/>
      <c r="D1218" s="19">
        <f t="shared" si="233"/>
        <v>1.0806382345822582E-2</v>
      </c>
    </row>
    <row r="1219" spans="1:4" x14ac:dyDescent="0.35">
      <c r="A1219" s="16">
        <v>46223</v>
      </c>
      <c r="B1219" s="17">
        <v>24238.5</v>
      </c>
      <c r="C1219" s="10"/>
      <c r="D1219" s="19">
        <f t="shared" ref="D1219:D1240" si="234">LN(B1219/B1218)</f>
        <v>-3.944599620345806E-3</v>
      </c>
    </row>
    <row r="1220" spans="1:4" x14ac:dyDescent="0.35">
      <c r="A1220" s="16">
        <v>46224</v>
      </c>
      <c r="B1220" s="17">
        <v>24187.7</v>
      </c>
      <c r="C1220" s="10"/>
      <c r="D1220" s="19">
        <f t="shared" si="234"/>
        <v>-2.0980386086102407E-3</v>
      </c>
    </row>
    <row r="1221" spans="1:4" x14ac:dyDescent="0.35">
      <c r="A1221" s="16">
        <v>46225</v>
      </c>
      <c r="B1221" s="17">
        <v>23996.25</v>
      </c>
      <c r="C1221" s="10"/>
      <c r="D1221" s="19">
        <f t="shared" si="234"/>
        <v>-7.9466713500223034E-3</v>
      </c>
    </row>
    <row r="1222" spans="1:4" x14ac:dyDescent="0.35">
      <c r="A1222" s="16">
        <v>46226</v>
      </c>
      <c r="B1222" s="17">
        <v>23869.599999999999</v>
      </c>
      <c r="C1222" s="10"/>
      <c r="D1222" s="19">
        <f t="shared" si="234"/>
        <v>-5.291885365423704E-3</v>
      </c>
    </row>
    <row r="1223" spans="1:4" x14ac:dyDescent="0.35">
      <c r="A1223" s="16">
        <v>46227</v>
      </c>
      <c r="B1223" s="17">
        <v>23767.45</v>
      </c>
      <c r="C1223" s="10"/>
      <c r="D1223" s="19">
        <f t="shared" si="234"/>
        <v>-4.2886852384368098E-3</v>
      </c>
    </row>
    <row r="1224" spans="1:4" x14ac:dyDescent="0.35">
      <c r="A1224" s="16">
        <v>46230</v>
      </c>
      <c r="B1224" s="17">
        <v>23995.95</v>
      </c>
      <c r="C1224" s="10"/>
      <c r="D1224" s="19">
        <f t="shared" si="234"/>
        <v>9.5680685722803645E-3</v>
      </c>
    </row>
    <row r="1225" spans="1:4" x14ac:dyDescent="0.35">
      <c r="A1225" s="16">
        <v>46231</v>
      </c>
      <c r="B1225" s="17">
        <v>23985.35</v>
      </c>
      <c r="C1225" s="10"/>
      <c r="D1225" s="19">
        <f t="shared" si="234"/>
        <v>-4.4183880688715383E-4</v>
      </c>
    </row>
    <row r="1226" spans="1:4" x14ac:dyDescent="0.35">
      <c r="A1226" s="16">
        <v>46232</v>
      </c>
      <c r="B1226" s="17">
        <v>24250.2</v>
      </c>
      <c r="C1226" s="10"/>
      <c r="D1226" s="19">
        <f t="shared" si="234"/>
        <v>1.0981637470987526E-2</v>
      </c>
    </row>
    <row r="1227" spans="1:4" x14ac:dyDescent="0.35">
      <c r="A1227" s="16">
        <v>46233</v>
      </c>
      <c r="B1227" s="17">
        <v>24317.15</v>
      </c>
      <c r="C1227" s="10"/>
      <c r="D1227" s="19">
        <f t="shared" si="234"/>
        <v>2.7569979588118235E-3</v>
      </c>
    </row>
    <row r="1228" spans="1:4" x14ac:dyDescent="0.35">
      <c r="A1228" s="16">
        <v>46234</v>
      </c>
      <c r="B1228" s="17">
        <v>24383.599999999999</v>
      </c>
      <c r="C1228" s="10"/>
      <c r="D1228" s="19">
        <f t="shared" si="234"/>
        <v>2.7289124392354969E-3</v>
      </c>
    </row>
    <row r="1229" spans="1:4" x14ac:dyDescent="0.35">
      <c r="A1229" s="16">
        <v>46237</v>
      </c>
      <c r="B1229" s="17">
        <v>24774.3</v>
      </c>
      <c r="C1229" s="10"/>
      <c r="D1229" s="19">
        <f t="shared" si="234"/>
        <v>1.5896050358084092E-2</v>
      </c>
    </row>
    <row r="1230" spans="1:4" x14ac:dyDescent="0.35">
      <c r="A1230" s="16">
        <v>46238</v>
      </c>
      <c r="B1230" s="17">
        <v>24614.9</v>
      </c>
      <c r="C1230" s="10"/>
      <c r="D1230" s="19">
        <f t="shared" si="234"/>
        <v>-6.4548748898602092E-3</v>
      </c>
    </row>
    <row r="1231" spans="1:4" x14ac:dyDescent="0.35">
      <c r="A1231" s="16">
        <v>46239</v>
      </c>
      <c r="B1231" s="17">
        <v>24624.65</v>
      </c>
      <c r="C1231" s="10"/>
      <c r="D1231" s="19">
        <f t="shared" si="234"/>
        <v>3.9602312074043145E-4</v>
      </c>
    </row>
    <row r="1232" spans="1:4" x14ac:dyDescent="0.35">
      <c r="A1232" s="16">
        <v>46240</v>
      </c>
      <c r="B1232" s="17">
        <v>24636</v>
      </c>
      <c r="C1232" s="10"/>
      <c r="D1232" s="19">
        <f t="shared" si="234"/>
        <v>4.6081406562213439E-4</v>
      </c>
    </row>
    <row r="1233" spans="1:5" x14ac:dyDescent="0.35">
      <c r="A1233" s="16">
        <v>46241</v>
      </c>
      <c r="B1233" s="17">
        <v>24570.65</v>
      </c>
      <c r="C1233" s="10"/>
      <c r="D1233" s="19">
        <f t="shared" si="234"/>
        <v>-2.6561466151820922E-3</v>
      </c>
    </row>
    <row r="1234" spans="1:5" x14ac:dyDescent="0.35">
      <c r="A1234" s="16">
        <v>46244</v>
      </c>
      <c r="B1234" s="17">
        <v>24583.8</v>
      </c>
      <c r="C1234" s="10"/>
      <c r="D1234" s="19">
        <f t="shared" si="234"/>
        <v>5.3504821287622976E-4</v>
      </c>
    </row>
    <row r="1235" spans="1:5" x14ac:dyDescent="0.35">
      <c r="A1235" s="16">
        <v>46245</v>
      </c>
      <c r="B1235" s="17">
        <v>24471.7</v>
      </c>
      <c r="C1235" s="10"/>
      <c r="D1235" s="19">
        <f t="shared" si="234"/>
        <v>-4.5703415571696762E-3</v>
      </c>
    </row>
    <row r="1236" spans="1:5" x14ac:dyDescent="0.35">
      <c r="A1236" s="16">
        <v>46246</v>
      </c>
      <c r="B1236" s="17">
        <v>24435.95</v>
      </c>
      <c r="C1236" s="10"/>
      <c r="D1236" s="19">
        <f t="shared" si="234"/>
        <v>-1.4619392412955027E-3</v>
      </c>
    </row>
    <row r="1237" spans="1:5" x14ac:dyDescent="0.35">
      <c r="A1237" s="16">
        <v>46247</v>
      </c>
      <c r="B1237" s="17">
        <v>24395.85</v>
      </c>
      <c r="C1237" s="10"/>
      <c r="D1237" s="19">
        <f t="shared" si="234"/>
        <v>-1.6423727576609119E-3</v>
      </c>
    </row>
    <row r="1238" spans="1:5" x14ac:dyDescent="0.35">
      <c r="A1238" s="16">
        <v>46248</v>
      </c>
      <c r="B1238" s="17">
        <v>24366</v>
      </c>
      <c r="C1238" s="10"/>
      <c r="D1238" s="19">
        <f t="shared" si="234"/>
        <v>-1.2243179341491939E-3</v>
      </c>
    </row>
    <row r="1239" spans="1:5" x14ac:dyDescent="0.35">
      <c r="A1239" s="16">
        <v>46251</v>
      </c>
      <c r="B1239" s="17">
        <v>24287.65</v>
      </c>
      <c r="C1239" s="10"/>
      <c r="D1239" s="19">
        <f t="shared" si="234"/>
        <v>-3.2207272312593169E-3</v>
      </c>
    </row>
    <row r="1240" spans="1:5" x14ac:dyDescent="0.35">
      <c r="A1240" s="16">
        <v>46252</v>
      </c>
      <c r="B1240" s="17">
        <v>24154.9</v>
      </c>
      <c r="C1240" s="10"/>
      <c r="D1240" s="19">
        <f t="shared" si="234"/>
        <v>-5.4807326327770307E-3</v>
      </c>
    </row>
    <row r="1243" spans="1:5" x14ac:dyDescent="0.35">
      <c r="E1243" s="15"/>
    </row>
  </sheetData>
  <mergeCells count="8">
    <mergeCell ref="I36:I38"/>
    <mergeCell ref="F36:F37"/>
    <mergeCell ref="E6:H15"/>
    <mergeCell ref="DG1:DI1"/>
    <mergeCell ref="DG26:DH26"/>
    <mergeCell ref="DM26:DN26"/>
    <mergeCell ref="I32:I34"/>
    <mergeCell ref="DG33:DJ33"/>
  </mergeCells>
  <phoneticPr fontId="4" type="noConversion"/>
  <pageMargins left="0.5" right="0.5" top="1" bottom="1" header="0.5" footer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8DC5-7DF8-834F-B4BA-479976DA50E4}">
  <sheetPr>
    <pageSetUpPr fitToPage="1"/>
  </sheetPr>
  <dimension ref="A1:B1240"/>
  <sheetViews>
    <sheetView workbookViewId="0">
      <selection activeCell="B1" sqref="B1"/>
    </sheetView>
  </sheetViews>
  <sheetFormatPr defaultColWidth="9.08984375" defaultRowHeight="13" x14ac:dyDescent="0.3"/>
  <cols>
    <col min="1" max="1" width="20.6328125" style="1" customWidth="1"/>
    <col min="2" max="2" width="13.81640625" style="1" customWidth="1"/>
    <col min="3" max="16384" width="9.0898437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44428</v>
      </c>
      <c r="B2" s="4">
        <v>975.15404799999999</v>
      </c>
    </row>
    <row r="3" spans="1:2" x14ac:dyDescent="0.3">
      <c r="A3" s="3">
        <v>44431</v>
      </c>
      <c r="B3" s="4">
        <v>981.55445399999996</v>
      </c>
    </row>
    <row r="4" spans="1:2" x14ac:dyDescent="0.3">
      <c r="A4" s="3">
        <v>44432</v>
      </c>
      <c r="B4" s="4">
        <v>991.24584900000002</v>
      </c>
    </row>
    <row r="5" spans="1:2" x14ac:dyDescent="0.3">
      <c r="A5" s="3">
        <v>44433</v>
      </c>
      <c r="B5" s="4">
        <v>999.82511699999998</v>
      </c>
    </row>
    <row r="6" spans="1:2" x14ac:dyDescent="0.3">
      <c r="A6" s="3">
        <v>44434</v>
      </c>
      <c r="B6" s="4">
        <v>1012.467053</v>
      </c>
    </row>
    <row r="7" spans="1:2" x14ac:dyDescent="0.3">
      <c r="A7" s="3">
        <v>44435</v>
      </c>
      <c r="B7" s="4">
        <v>1011.082568</v>
      </c>
    </row>
    <row r="8" spans="1:2" x14ac:dyDescent="0.3">
      <c r="A8" s="3">
        <v>44438</v>
      </c>
      <c r="B8" s="4">
        <v>1030.533447</v>
      </c>
    </row>
    <row r="9" spans="1:2" x14ac:dyDescent="0.3">
      <c r="A9" s="3">
        <v>44439</v>
      </c>
      <c r="B9" s="4">
        <v>1025.0409</v>
      </c>
    </row>
    <row r="10" spans="1:2" x14ac:dyDescent="0.3">
      <c r="A10" s="3">
        <v>44440</v>
      </c>
      <c r="B10" s="4">
        <v>1029.1035690000001</v>
      </c>
    </row>
    <row r="11" spans="1:2" x14ac:dyDescent="0.3">
      <c r="A11" s="3">
        <v>44441</v>
      </c>
      <c r="B11" s="4">
        <v>1041.4958449999999</v>
      </c>
    </row>
    <row r="12" spans="1:2" x14ac:dyDescent="0.3">
      <c r="A12" s="3">
        <v>44442</v>
      </c>
      <c r="B12" s="4">
        <v>1084.210611</v>
      </c>
    </row>
    <row r="13" spans="1:2" x14ac:dyDescent="0.3">
      <c r="A13" s="3">
        <v>44445</v>
      </c>
      <c r="B13" s="4">
        <v>1101.051395</v>
      </c>
    </row>
    <row r="14" spans="1:2" x14ac:dyDescent="0.3">
      <c r="A14" s="3">
        <v>44446</v>
      </c>
      <c r="B14" s="4">
        <v>1107.996517</v>
      </c>
    </row>
    <row r="15" spans="1:2" x14ac:dyDescent="0.3">
      <c r="A15" s="3">
        <v>44447</v>
      </c>
      <c r="B15" s="4">
        <v>1103.66149</v>
      </c>
    </row>
    <row r="16" spans="1:2" x14ac:dyDescent="0.3">
      <c r="A16" s="3">
        <v>44448</v>
      </c>
      <c r="B16" s="4">
        <v>1101.051395</v>
      </c>
    </row>
    <row r="17" spans="1:2" x14ac:dyDescent="0.3">
      <c r="A17" s="3">
        <v>44452</v>
      </c>
      <c r="B17" s="4">
        <v>1076.5165059999999</v>
      </c>
    </row>
    <row r="18" spans="1:2" x14ac:dyDescent="0.3">
      <c r="A18" s="3">
        <v>44453</v>
      </c>
      <c r="B18" s="4">
        <v>1075.109324</v>
      </c>
    </row>
    <row r="19" spans="1:2" x14ac:dyDescent="0.3">
      <c r="A19" s="3">
        <v>44454</v>
      </c>
      <c r="B19" s="4">
        <v>1079.58053</v>
      </c>
    </row>
    <row r="20" spans="1:2" x14ac:dyDescent="0.3">
      <c r="A20" s="3">
        <v>44455</v>
      </c>
      <c r="B20" s="4">
        <v>1102.231612</v>
      </c>
    </row>
    <row r="21" spans="1:2" x14ac:dyDescent="0.3">
      <c r="A21" s="3">
        <v>44456</v>
      </c>
      <c r="B21" s="4">
        <v>1085.1411660000001</v>
      </c>
    </row>
    <row r="22" spans="1:2" x14ac:dyDescent="0.3">
      <c r="A22" s="3">
        <v>44459</v>
      </c>
      <c r="B22" s="4">
        <v>1086.866098</v>
      </c>
    </row>
    <row r="23" spans="1:2" x14ac:dyDescent="0.3">
      <c r="A23" s="3">
        <v>44460</v>
      </c>
      <c r="B23" s="4">
        <v>1091.564269</v>
      </c>
    </row>
    <row r="24" spans="1:2" x14ac:dyDescent="0.3">
      <c r="A24" s="3">
        <v>44461</v>
      </c>
      <c r="B24" s="4">
        <v>1103.27565</v>
      </c>
    </row>
    <row r="25" spans="1:2" x14ac:dyDescent="0.3">
      <c r="A25" s="3">
        <v>44462</v>
      </c>
      <c r="B25" s="4">
        <v>1130.2390620000001</v>
      </c>
    </row>
    <row r="26" spans="1:2" x14ac:dyDescent="0.3">
      <c r="A26" s="3">
        <v>44463</v>
      </c>
      <c r="B26" s="4">
        <v>1126.9707699999999</v>
      </c>
    </row>
    <row r="27" spans="1:2" x14ac:dyDescent="0.3">
      <c r="A27" s="3">
        <v>44466</v>
      </c>
      <c r="B27" s="4">
        <v>1145.9223260000001</v>
      </c>
    </row>
    <row r="28" spans="1:2" x14ac:dyDescent="0.3">
      <c r="A28" s="3">
        <v>44467</v>
      </c>
      <c r="B28" s="4">
        <v>1156.6350620000001</v>
      </c>
    </row>
    <row r="29" spans="1:2" x14ac:dyDescent="0.3">
      <c r="A29" s="3">
        <v>44468</v>
      </c>
      <c r="B29" s="4">
        <v>1147.4656869999999</v>
      </c>
    </row>
    <row r="30" spans="1:2" x14ac:dyDescent="0.3">
      <c r="A30" s="3">
        <v>44469</v>
      </c>
      <c r="B30" s="4">
        <v>1143.5618930000001</v>
      </c>
    </row>
    <row r="31" spans="1:2" x14ac:dyDescent="0.3">
      <c r="A31" s="3">
        <v>44470</v>
      </c>
      <c r="B31" s="4">
        <v>1145.5818790000001</v>
      </c>
    </row>
    <row r="32" spans="1:2" x14ac:dyDescent="0.3">
      <c r="A32" s="3">
        <v>44473</v>
      </c>
      <c r="B32" s="4">
        <v>1160.3118910000001</v>
      </c>
    </row>
    <row r="33" spans="1:2" x14ac:dyDescent="0.3">
      <c r="A33" s="3">
        <v>44474</v>
      </c>
      <c r="B33" s="4">
        <v>1184.3928510000001</v>
      </c>
    </row>
    <row r="34" spans="1:2" x14ac:dyDescent="0.3">
      <c r="A34" s="3">
        <v>44475</v>
      </c>
      <c r="B34" s="4">
        <v>1161.9914309999999</v>
      </c>
    </row>
    <row r="35" spans="1:2" x14ac:dyDescent="0.3">
      <c r="A35" s="3">
        <v>44476</v>
      </c>
      <c r="B35" s="4">
        <v>1167.6882459999999</v>
      </c>
    </row>
    <row r="36" spans="1:2" x14ac:dyDescent="0.3">
      <c r="A36" s="3">
        <v>44477</v>
      </c>
      <c r="B36" s="4">
        <v>1212.5591770000001</v>
      </c>
    </row>
    <row r="37" spans="1:2" x14ac:dyDescent="0.3">
      <c r="A37" s="3">
        <v>44480</v>
      </c>
      <c r="B37" s="4">
        <v>1204.116088</v>
      </c>
    </row>
    <row r="38" spans="1:2" x14ac:dyDescent="0.3">
      <c r="A38" s="3">
        <v>44481</v>
      </c>
      <c r="B38" s="4">
        <v>1210.9931200000001</v>
      </c>
    </row>
    <row r="39" spans="1:2" x14ac:dyDescent="0.3">
      <c r="A39" s="3">
        <v>44482</v>
      </c>
      <c r="B39" s="4">
        <v>1223.3173059999999</v>
      </c>
    </row>
    <row r="40" spans="1:2" x14ac:dyDescent="0.3">
      <c r="A40" s="3">
        <v>44483</v>
      </c>
      <c r="B40" s="4">
        <v>1225.7912220000001</v>
      </c>
    </row>
    <row r="41" spans="1:2" x14ac:dyDescent="0.3">
      <c r="A41" s="3">
        <v>44487</v>
      </c>
      <c r="B41" s="4">
        <v>1229.059514</v>
      </c>
    </row>
    <row r="42" spans="1:2" x14ac:dyDescent="0.3">
      <c r="A42" s="3">
        <v>44488</v>
      </c>
      <c r="B42" s="4">
        <v>1240.067305</v>
      </c>
    </row>
    <row r="43" spans="1:2" x14ac:dyDescent="0.3">
      <c r="A43" s="3">
        <v>44489</v>
      </c>
      <c r="B43" s="4">
        <v>1225.7912220000001</v>
      </c>
    </row>
    <row r="44" spans="1:2" x14ac:dyDescent="0.3">
      <c r="A44" s="3">
        <v>44490</v>
      </c>
      <c r="B44" s="4">
        <v>1190.430114</v>
      </c>
    </row>
    <row r="45" spans="1:2" x14ac:dyDescent="0.3">
      <c r="A45" s="3">
        <v>44491</v>
      </c>
      <c r="B45" s="4">
        <v>1192.654368</v>
      </c>
    </row>
    <row r="46" spans="1:2" x14ac:dyDescent="0.3">
      <c r="A46" s="3">
        <v>44494</v>
      </c>
      <c r="B46" s="4">
        <v>1181.0337730000001</v>
      </c>
    </row>
    <row r="47" spans="1:2" x14ac:dyDescent="0.3">
      <c r="A47" s="3">
        <v>44495</v>
      </c>
      <c r="B47" s="4">
        <v>1207.9290960000001</v>
      </c>
    </row>
    <row r="48" spans="1:2" x14ac:dyDescent="0.3">
      <c r="A48" s="3">
        <v>44496</v>
      </c>
      <c r="B48" s="4">
        <v>1192.654368</v>
      </c>
    </row>
    <row r="49" spans="1:2" x14ac:dyDescent="0.3">
      <c r="A49" s="3">
        <v>44497</v>
      </c>
      <c r="B49" s="4">
        <v>1179.581199</v>
      </c>
    </row>
    <row r="50" spans="1:2" x14ac:dyDescent="0.3">
      <c r="A50" s="3">
        <v>44498</v>
      </c>
      <c r="B50" s="4">
        <v>1151.2786940000001</v>
      </c>
    </row>
    <row r="51" spans="1:2" x14ac:dyDescent="0.3">
      <c r="A51" s="3">
        <v>44501</v>
      </c>
      <c r="B51" s="4">
        <v>1151.982285</v>
      </c>
    </row>
    <row r="52" spans="1:2" x14ac:dyDescent="0.3">
      <c r="A52" s="3">
        <v>44502</v>
      </c>
      <c r="B52" s="4">
        <v>1135.1868939999999</v>
      </c>
    </row>
    <row r="53" spans="1:2" x14ac:dyDescent="0.3">
      <c r="A53" s="3">
        <v>44503</v>
      </c>
      <c r="B53" s="4">
        <v>1127.379306</v>
      </c>
    </row>
    <row r="54" spans="1:2" x14ac:dyDescent="0.3">
      <c r="A54" s="3">
        <v>44504</v>
      </c>
      <c r="B54" s="4">
        <v>1134.301731</v>
      </c>
    </row>
    <row r="55" spans="1:2" x14ac:dyDescent="0.3">
      <c r="A55" s="3">
        <v>44508</v>
      </c>
      <c r="B55" s="4">
        <v>1135.7089129999999</v>
      </c>
    </row>
    <row r="56" spans="1:2" x14ac:dyDescent="0.3">
      <c r="A56" s="3">
        <v>44509</v>
      </c>
      <c r="B56" s="4">
        <v>1144.6740199999999</v>
      </c>
    </row>
    <row r="57" spans="1:2" x14ac:dyDescent="0.3">
      <c r="A57" s="3">
        <v>44510</v>
      </c>
      <c r="B57" s="4">
        <v>1157.4748320000001</v>
      </c>
    </row>
    <row r="58" spans="1:2" x14ac:dyDescent="0.3">
      <c r="A58" s="3">
        <v>44511</v>
      </c>
      <c r="B58" s="4">
        <v>1159.5856040000001</v>
      </c>
    </row>
    <row r="59" spans="1:2" x14ac:dyDescent="0.3">
      <c r="A59" s="3">
        <v>44512</v>
      </c>
      <c r="B59" s="4">
        <v>1177.0845859999999</v>
      </c>
    </row>
    <row r="60" spans="1:2" x14ac:dyDescent="0.3">
      <c r="A60" s="3">
        <v>44515</v>
      </c>
      <c r="B60" s="4">
        <v>1170.139465</v>
      </c>
    </row>
    <row r="61" spans="1:2" x14ac:dyDescent="0.3">
      <c r="A61" s="3">
        <v>44516</v>
      </c>
      <c r="B61" s="4">
        <v>1142.9490880000001</v>
      </c>
    </row>
    <row r="62" spans="1:2" x14ac:dyDescent="0.3">
      <c r="A62" s="3">
        <v>44517</v>
      </c>
      <c r="B62" s="4">
        <v>1118.4822879999999</v>
      </c>
    </row>
    <row r="63" spans="1:2" x14ac:dyDescent="0.3">
      <c r="A63" s="3">
        <v>44518</v>
      </c>
      <c r="B63" s="4">
        <v>1122.7038319999999</v>
      </c>
    </row>
    <row r="64" spans="1:2" x14ac:dyDescent="0.3">
      <c r="A64" s="3">
        <v>44522</v>
      </c>
      <c r="B64" s="4">
        <v>1072.975856</v>
      </c>
    </row>
    <row r="65" spans="1:2" x14ac:dyDescent="0.3">
      <c r="A65" s="3">
        <v>44523</v>
      </c>
      <c r="B65" s="4">
        <v>1083.0076979999999</v>
      </c>
    </row>
    <row r="66" spans="1:2" x14ac:dyDescent="0.3">
      <c r="A66" s="3">
        <v>44524</v>
      </c>
      <c r="B66" s="4">
        <v>1067.3698260000001</v>
      </c>
    </row>
    <row r="67" spans="1:2" x14ac:dyDescent="0.3">
      <c r="A67" s="3">
        <v>44525</v>
      </c>
      <c r="B67" s="4">
        <v>1131.6235469999999</v>
      </c>
    </row>
    <row r="68" spans="1:2" x14ac:dyDescent="0.3">
      <c r="A68" s="3">
        <v>44526</v>
      </c>
      <c r="B68" s="4">
        <v>1095.150312</v>
      </c>
    </row>
    <row r="69" spans="1:2" x14ac:dyDescent="0.3">
      <c r="A69" s="3">
        <v>44529</v>
      </c>
      <c r="B69" s="4">
        <v>1108.2688740000001</v>
      </c>
    </row>
    <row r="70" spans="1:2" x14ac:dyDescent="0.3">
      <c r="A70" s="3">
        <v>44530</v>
      </c>
      <c r="B70" s="4">
        <v>1091.8820189999999</v>
      </c>
    </row>
    <row r="71" spans="1:2" x14ac:dyDescent="0.3">
      <c r="A71" s="3">
        <v>44531</v>
      </c>
      <c r="B71" s="4">
        <v>1119.844077</v>
      </c>
    </row>
    <row r="72" spans="1:2" x14ac:dyDescent="0.3">
      <c r="A72" s="3">
        <v>44532</v>
      </c>
      <c r="B72" s="4">
        <v>1127.038859</v>
      </c>
    </row>
    <row r="73" spans="1:2" x14ac:dyDescent="0.3">
      <c r="A73" s="3">
        <v>44533</v>
      </c>
      <c r="B73" s="4">
        <v>1093.175718</v>
      </c>
    </row>
    <row r="74" spans="1:2" x14ac:dyDescent="0.3">
      <c r="A74" s="3">
        <v>44536</v>
      </c>
      <c r="B74" s="4">
        <v>1072.453837</v>
      </c>
    </row>
    <row r="75" spans="1:2" x14ac:dyDescent="0.3">
      <c r="A75" s="3">
        <v>44537</v>
      </c>
      <c r="B75" s="4">
        <v>1081.1919800000001</v>
      </c>
    </row>
    <row r="76" spans="1:2" x14ac:dyDescent="0.3">
      <c r="A76" s="3">
        <v>44538</v>
      </c>
      <c r="B76" s="4">
        <v>1097.6469239999999</v>
      </c>
    </row>
    <row r="77" spans="1:2" x14ac:dyDescent="0.3">
      <c r="A77" s="3">
        <v>44539</v>
      </c>
      <c r="B77" s="4">
        <v>1115.05512</v>
      </c>
    </row>
    <row r="78" spans="1:2" x14ac:dyDescent="0.3">
      <c r="A78" s="3">
        <v>44540</v>
      </c>
      <c r="B78" s="4">
        <v>1116.189944</v>
      </c>
    </row>
    <row r="79" spans="1:2" x14ac:dyDescent="0.3">
      <c r="A79" s="3">
        <v>44543</v>
      </c>
      <c r="B79" s="4">
        <v>1093.81122</v>
      </c>
    </row>
    <row r="80" spans="1:2" x14ac:dyDescent="0.3">
      <c r="A80" s="3">
        <v>44544</v>
      </c>
      <c r="B80" s="4">
        <v>1080.4202990000001</v>
      </c>
    </row>
    <row r="81" spans="1:2" x14ac:dyDescent="0.3">
      <c r="A81" s="3">
        <v>44545</v>
      </c>
      <c r="B81" s="4">
        <v>1077.2654889999999</v>
      </c>
    </row>
    <row r="82" spans="1:2" x14ac:dyDescent="0.3">
      <c r="A82" s="3">
        <v>44546</v>
      </c>
      <c r="B82" s="4">
        <v>1091.201125</v>
      </c>
    </row>
    <row r="83" spans="1:2" x14ac:dyDescent="0.3">
      <c r="A83" s="3">
        <v>44547</v>
      </c>
      <c r="B83" s="4">
        <v>1062.399298</v>
      </c>
    </row>
    <row r="84" spans="1:2" x14ac:dyDescent="0.3">
      <c r="A84" s="3">
        <v>44550</v>
      </c>
      <c r="B84" s="4">
        <v>1033.756347</v>
      </c>
    </row>
    <row r="85" spans="1:2" x14ac:dyDescent="0.3">
      <c r="A85" s="3">
        <v>44551</v>
      </c>
      <c r="B85" s="4">
        <v>1049.1445570000001</v>
      </c>
    </row>
    <row r="86" spans="1:2" x14ac:dyDescent="0.3">
      <c r="A86" s="3">
        <v>44552</v>
      </c>
      <c r="B86" s="4">
        <v>1074.04259</v>
      </c>
    </row>
    <row r="87" spans="1:2" x14ac:dyDescent="0.3">
      <c r="A87" s="3">
        <v>44553</v>
      </c>
      <c r="B87" s="4">
        <v>1073.6567500000001</v>
      </c>
    </row>
    <row r="88" spans="1:2" x14ac:dyDescent="0.3">
      <c r="A88" s="3">
        <v>44554</v>
      </c>
      <c r="B88" s="4">
        <v>1077.083918</v>
      </c>
    </row>
    <row r="89" spans="1:2" x14ac:dyDescent="0.3">
      <c r="A89" s="3">
        <v>44557</v>
      </c>
      <c r="B89" s="4">
        <v>1075.926397</v>
      </c>
    </row>
    <row r="90" spans="1:2" x14ac:dyDescent="0.3">
      <c r="A90" s="3">
        <v>44558</v>
      </c>
      <c r="B90" s="4">
        <v>1088.7045129999999</v>
      </c>
    </row>
    <row r="91" spans="1:2" x14ac:dyDescent="0.3">
      <c r="A91" s="3">
        <v>44559</v>
      </c>
      <c r="B91" s="4">
        <v>1090.5656240000001</v>
      </c>
    </row>
    <row r="92" spans="1:2" x14ac:dyDescent="0.3">
      <c r="A92" s="3">
        <v>44560</v>
      </c>
      <c r="B92" s="4">
        <v>1070.8650829999999</v>
      </c>
    </row>
    <row r="93" spans="1:2" x14ac:dyDescent="0.3">
      <c r="A93" s="3">
        <v>44561</v>
      </c>
      <c r="B93" s="4">
        <v>1074.9731449999999</v>
      </c>
    </row>
    <row r="94" spans="1:2" x14ac:dyDescent="0.3">
      <c r="A94" s="3">
        <v>44564</v>
      </c>
      <c r="B94" s="4">
        <v>1091.1784290000001</v>
      </c>
    </row>
    <row r="95" spans="1:2" x14ac:dyDescent="0.3">
      <c r="A95" s="3">
        <v>44565</v>
      </c>
      <c r="B95" s="4">
        <v>1115.8041040000001</v>
      </c>
    </row>
    <row r="96" spans="1:2" x14ac:dyDescent="0.3">
      <c r="A96" s="3">
        <v>44566</v>
      </c>
      <c r="B96" s="4">
        <v>1121.0242929999999</v>
      </c>
    </row>
    <row r="97" spans="1:2" x14ac:dyDescent="0.3">
      <c r="A97" s="3">
        <v>44567</v>
      </c>
      <c r="B97" s="4">
        <v>1096.9206369999999</v>
      </c>
    </row>
    <row r="98" spans="1:2" x14ac:dyDescent="0.3">
      <c r="A98" s="3">
        <v>44568</v>
      </c>
      <c r="B98" s="4">
        <v>1105.772262</v>
      </c>
    </row>
    <row r="99" spans="1:2" x14ac:dyDescent="0.3">
      <c r="A99" s="3">
        <v>44571</v>
      </c>
      <c r="B99" s="4">
        <v>1106.6801210000001</v>
      </c>
    </row>
    <row r="100" spans="1:2" x14ac:dyDescent="0.3">
      <c r="A100" s="3">
        <v>44572</v>
      </c>
      <c r="B100" s="4">
        <v>1114.6465840000001</v>
      </c>
    </row>
    <row r="101" spans="1:2" x14ac:dyDescent="0.3">
      <c r="A101" s="3">
        <v>44573</v>
      </c>
      <c r="B101" s="4">
        <v>1144.401662</v>
      </c>
    </row>
    <row r="102" spans="1:2" x14ac:dyDescent="0.3">
      <c r="A102" s="3">
        <v>44574</v>
      </c>
      <c r="B102" s="4">
        <v>1150.8474610000001</v>
      </c>
    </row>
    <row r="103" spans="1:2" x14ac:dyDescent="0.3">
      <c r="A103" s="3">
        <v>44575</v>
      </c>
      <c r="B103" s="4">
        <v>1152.5270009999999</v>
      </c>
    </row>
    <row r="104" spans="1:2" x14ac:dyDescent="0.3">
      <c r="A104" s="3">
        <v>44578</v>
      </c>
      <c r="B104" s="4">
        <v>1158.5415660000001</v>
      </c>
    </row>
    <row r="105" spans="1:2" x14ac:dyDescent="0.3">
      <c r="A105" s="3">
        <v>44579</v>
      </c>
      <c r="B105" s="4">
        <v>1144.719413</v>
      </c>
    </row>
    <row r="106" spans="1:2" x14ac:dyDescent="0.3">
      <c r="A106" s="3">
        <v>44580</v>
      </c>
      <c r="B106" s="4">
        <v>1144.6286270000001</v>
      </c>
    </row>
    <row r="107" spans="1:2" x14ac:dyDescent="0.3">
      <c r="A107" s="3">
        <v>44581</v>
      </c>
      <c r="B107" s="4">
        <v>1124.58764</v>
      </c>
    </row>
    <row r="108" spans="1:2" x14ac:dyDescent="0.3">
      <c r="A108" s="3">
        <v>44582</v>
      </c>
      <c r="B108" s="4">
        <v>1124.7692119999999</v>
      </c>
    </row>
    <row r="109" spans="1:2" x14ac:dyDescent="0.3">
      <c r="A109" s="3">
        <v>44585</v>
      </c>
      <c r="B109" s="4">
        <v>1079.398958</v>
      </c>
    </row>
    <row r="110" spans="1:2" x14ac:dyDescent="0.3">
      <c r="A110" s="3">
        <v>44586</v>
      </c>
      <c r="B110" s="4">
        <v>1077.288186</v>
      </c>
    </row>
    <row r="111" spans="1:2" x14ac:dyDescent="0.3">
      <c r="A111" s="3">
        <v>44588</v>
      </c>
      <c r="B111" s="4">
        <v>1061.332564</v>
      </c>
    </row>
    <row r="112" spans="1:2" x14ac:dyDescent="0.3">
      <c r="A112" s="3">
        <v>44589</v>
      </c>
      <c r="B112" s="4">
        <v>1060.3112229999999</v>
      </c>
    </row>
    <row r="113" spans="1:2" x14ac:dyDescent="0.3">
      <c r="A113" s="3">
        <v>44592</v>
      </c>
      <c r="B113" s="4">
        <v>1083.3481449999999</v>
      </c>
    </row>
    <row r="114" spans="1:2" x14ac:dyDescent="0.3">
      <c r="A114" s="3">
        <v>44593</v>
      </c>
      <c r="B114" s="4">
        <v>1079.7621019999999</v>
      </c>
    </row>
    <row r="115" spans="1:2" x14ac:dyDescent="0.3">
      <c r="A115" s="3">
        <v>44594</v>
      </c>
      <c r="B115" s="4">
        <v>1081.9636599999999</v>
      </c>
    </row>
    <row r="116" spans="1:2" x14ac:dyDescent="0.3">
      <c r="A116" s="3">
        <v>44595</v>
      </c>
      <c r="B116" s="4">
        <v>1067.9826310000001</v>
      </c>
    </row>
    <row r="117" spans="1:2" x14ac:dyDescent="0.3">
      <c r="A117" s="3">
        <v>44596</v>
      </c>
      <c r="B117" s="4">
        <v>1058.2458429999999</v>
      </c>
    </row>
    <row r="118" spans="1:2" x14ac:dyDescent="0.3">
      <c r="A118" s="3">
        <v>44599</v>
      </c>
      <c r="B118" s="4">
        <v>1051.8000440000001</v>
      </c>
    </row>
    <row r="119" spans="1:2" x14ac:dyDescent="0.3">
      <c r="A119" s="3">
        <v>44600</v>
      </c>
      <c r="B119" s="4">
        <v>1069.4805980000001</v>
      </c>
    </row>
    <row r="120" spans="1:2" x14ac:dyDescent="0.3">
      <c r="A120" s="3">
        <v>44601</v>
      </c>
      <c r="B120" s="4">
        <v>1081.940963</v>
      </c>
    </row>
    <row r="121" spans="1:2" x14ac:dyDescent="0.3">
      <c r="A121" s="3">
        <v>44602</v>
      </c>
      <c r="B121" s="4">
        <v>1080.8288359999999</v>
      </c>
    </row>
    <row r="122" spans="1:2" x14ac:dyDescent="0.3">
      <c r="A122" s="3">
        <v>44603</v>
      </c>
      <c r="B122" s="4">
        <v>1078.7180639999999</v>
      </c>
    </row>
    <row r="123" spans="1:2" x14ac:dyDescent="0.3">
      <c r="A123" s="3">
        <v>44606</v>
      </c>
      <c r="B123" s="4">
        <v>1061.536832</v>
      </c>
    </row>
    <row r="124" spans="1:2" x14ac:dyDescent="0.3">
      <c r="A124" s="3">
        <v>44607</v>
      </c>
      <c r="B124" s="4">
        <v>1097.578835</v>
      </c>
    </row>
    <row r="125" spans="1:2" x14ac:dyDescent="0.3">
      <c r="A125" s="3">
        <v>44608</v>
      </c>
      <c r="B125" s="4">
        <v>1095.3091870000001</v>
      </c>
    </row>
    <row r="126" spans="1:2" x14ac:dyDescent="0.3">
      <c r="A126" s="3">
        <v>44609</v>
      </c>
      <c r="B126" s="4">
        <v>1109.176733</v>
      </c>
    </row>
    <row r="127" spans="1:2" x14ac:dyDescent="0.3">
      <c r="A127" s="3">
        <v>44610</v>
      </c>
      <c r="B127" s="4">
        <v>1100.50668</v>
      </c>
    </row>
    <row r="128" spans="1:2" x14ac:dyDescent="0.3">
      <c r="A128" s="3">
        <v>44613</v>
      </c>
      <c r="B128" s="4">
        <v>1089.385407</v>
      </c>
    </row>
    <row r="129" spans="1:2" x14ac:dyDescent="0.3">
      <c r="A129" s="3">
        <v>44614</v>
      </c>
      <c r="B129" s="4">
        <v>1084.437576</v>
      </c>
    </row>
    <row r="130" spans="1:2" x14ac:dyDescent="0.3">
      <c r="A130" s="3">
        <v>44615</v>
      </c>
      <c r="B130" s="4">
        <v>1077.651329</v>
      </c>
    </row>
    <row r="131" spans="1:2" x14ac:dyDescent="0.3">
      <c r="A131" s="3">
        <v>44616</v>
      </c>
      <c r="B131" s="4">
        <v>1023.95147</v>
      </c>
    </row>
    <row r="132" spans="1:2" x14ac:dyDescent="0.3">
      <c r="A132" s="3">
        <v>44617</v>
      </c>
      <c r="B132" s="4">
        <v>1036.7522819999999</v>
      </c>
    </row>
    <row r="133" spans="1:2" x14ac:dyDescent="0.3">
      <c r="A133" s="3">
        <v>44620</v>
      </c>
      <c r="B133" s="4">
        <v>1071.069352</v>
      </c>
    </row>
    <row r="134" spans="1:2" x14ac:dyDescent="0.3">
      <c r="A134" s="3">
        <v>44622</v>
      </c>
      <c r="B134" s="4">
        <v>1088.772602</v>
      </c>
    </row>
    <row r="135" spans="1:2" x14ac:dyDescent="0.3">
      <c r="A135" s="3">
        <v>44623</v>
      </c>
      <c r="B135" s="4">
        <v>1079.58053</v>
      </c>
    </row>
    <row r="136" spans="1:2" x14ac:dyDescent="0.3">
      <c r="A136" s="3">
        <v>44624</v>
      </c>
      <c r="B136" s="4">
        <v>1055.635749</v>
      </c>
    </row>
    <row r="137" spans="1:2" x14ac:dyDescent="0.3">
      <c r="A137" s="3">
        <v>44627</v>
      </c>
      <c r="B137" s="4">
        <v>1016.597812</v>
      </c>
    </row>
    <row r="138" spans="1:2" x14ac:dyDescent="0.3">
      <c r="A138" s="3">
        <v>44628</v>
      </c>
      <c r="B138" s="4">
        <v>1014.759397</v>
      </c>
    </row>
    <row r="139" spans="1:2" x14ac:dyDescent="0.3">
      <c r="A139" s="3">
        <v>44629</v>
      </c>
      <c r="B139" s="4">
        <v>1068.5954360000001</v>
      </c>
    </row>
    <row r="140" spans="1:2" x14ac:dyDescent="0.3">
      <c r="A140" s="3">
        <v>44630</v>
      </c>
      <c r="B140" s="4">
        <v>1085.9128459999999</v>
      </c>
    </row>
    <row r="141" spans="1:2" x14ac:dyDescent="0.3">
      <c r="A141" s="3">
        <v>44631</v>
      </c>
      <c r="B141" s="4">
        <v>1089.0449599999999</v>
      </c>
    </row>
    <row r="142" spans="1:2" x14ac:dyDescent="0.3">
      <c r="A142" s="3">
        <v>44634</v>
      </c>
      <c r="B142" s="4">
        <v>1097.9873709999999</v>
      </c>
    </row>
    <row r="143" spans="1:2" x14ac:dyDescent="0.3">
      <c r="A143" s="3">
        <v>44635</v>
      </c>
      <c r="B143" s="4">
        <v>1072.8396769999999</v>
      </c>
    </row>
    <row r="144" spans="1:2" x14ac:dyDescent="0.3">
      <c r="A144" s="3">
        <v>44636</v>
      </c>
      <c r="B144" s="4">
        <v>1090.951464</v>
      </c>
    </row>
    <row r="145" spans="1:2" x14ac:dyDescent="0.3">
      <c r="A145" s="3">
        <v>44637</v>
      </c>
      <c r="B145" s="4">
        <v>1126.51684</v>
      </c>
    </row>
    <row r="146" spans="1:2" x14ac:dyDescent="0.3">
      <c r="A146" s="3">
        <v>44641</v>
      </c>
      <c r="B146" s="4">
        <v>1120.025648</v>
      </c>
    </row>
    <row r="147" spans="1:2" x14ac:dyDescent="0.3">
      <c r="A147" s="3">
        <v>44642</v>
      </c>
      <c r="B147" s="4">
        <v>1148.9636539999999</v>
      </c>
    </row>
    <row r="148" spans="1:2" x14ac:dyDescent="0.3">
      <c r="A148" s="3">
        <v>44643</v>
      </c>
      <c r="B148" s="4">
        <v>1152.617786</v>
      </c>
    </row>
    <row r="149" spans="1:2" x14ac:dyDescent="0.3">
      <c r="A149" s="3">
        <v>44644</v>
      </c>
      <c r="B149" s="4">
        <v>1170.5253049999999</v>
      </c>
    </row>
    <row r="150" spans="1:2" x14ac:dyDescent="0.3">
      <c r="A150" s="3">
        <v>44645</v>
      </c>
      <c r="B150" s="4">
        <v>1178.332893</v>
      </c>
    </row>
    <row r="151" spans="1:2" x14ac:dyDescent="0.3">
      <c r="A151" s="3">
        <v>44648</v>
      </c>
      <c r="B151" s="4">
        <v>1190.1804529999999</v>
      </c>
    </row>
    <row r="152" spans="1:2" x14ac:dyDescent="0.3">
      <c r="A152" s="3">
        <v>44649</v>
      </c>
      <c r="B152" s="4">
        <v>1190.45281</v>
      </c>
    </row>
    <row r="153" spans="1:2" x14ac:dyDescent="0.3">
      <c r="A153" s="3">
        <v>44650</v>
      </c>
      <c r="B153" s="4">
        <v>1213.3308569999999</v>
      </c>
    </row>
    <row r="154" spans="1:2" x14ac:dyDescent="0.3">
      <c r="A154" s="3">
        <v>44651</v>
      </c>
      <c r="B154" s="4">
        <v>1195.9907499999999</v>
      </c>
    </row>
    <row r="155" spans="1:2" x14ac:dyDescent="0.3">
      <c r="A155" s="3">
        <v>44652</v>
      </c>
      <c r="B155" s="4">
        <v>1205.568663</v>
      </c>
    </row>
    <row r="156" spans="1:2" x14ac:dyDescent="0.3">
      <c r="A156" s="3">
        <v>44655</v>
      </c>
      <c r="B156" s="4">
        <v>1209.1320089999999</v>
      </c>
    </row>
    <row r="157" spans="1:2" x14ac:dyDescent="0.3">
      <c r="A157" s="3">
        <v>44656</v>
      </c>
      <c r="B157" s="4">
        <v>1192.041563</v>
      </c>
    </row>
    <row r="158" spans="1:2" x14ac:dyDescent="0.3">
      <c r="A158" s="3">
        <v>44657</v>
      </c>
      <c r="B158" s="4">
        <v>1188.864057</v>
      </c>
    </row>
    <row r="159" spans="1:2" x14ac:dyDescent="0.3">
      <c r="A159" s="3">
        <v>44658</v>
      </c>
      <c r="B159" s="4">
        <v>1167.8925139999999</v>
      </c>
    </row>
    <row r="160" spans="1:2" x14ac:dyDescent="0.3">
      <c r="A160" s="3">
        <v>44659</v>
      </c>
      <c r="B160" s="4">
        <v>1187.3206970000001</v>
      </c>
    </row>
    <row r="161" spans="1:2" x14ac:dyDescent="0.3">
      <c r="A161" s="3">
        <v>44662</v>
      </c>
      <c r="B161" s="4">
        <v>1184.846781</v>
      </c>
    </row>
    <row r="162" spans="1:2" x14ac:dyDescent="0.3">
      <c r="A162" s="3">
        <v>44663</v>
      </c>
      <c r="B162" s="4">
        <v>1162.5361459999999</v>
      </c>
    </row>
    <row r="163" spans="1:2" x14ac:dyDescent="0.3">
      <c r="A163" s="3">
        <v>44664</v>
      </c>
      <c r="B163" s="4">
        <v>1158.269209</v>
      </c>
    </row>
    <row r="164" spans="1:2" x14ac:dyDescent="0.3">
      <c r="A164" s="3">
        <v>44669</v>
      </c>
      <c r="B164" s="4">
        <v>1154.7285589999999</v>
      </c>
    </row>
    <row r="165" spans="1:2" x14ac:dyDescent="0.3">
      <c r="A165" s="3">
        <v>44670</v>
      </c>
      <c r="B165" s="4">
        <v>1198.737024</v>
      </c>
    </row>
    <row r="166" spans="1:2" x14ac:dyDescent="0.3">
      <c r="A166" s="3">
        <v>44671</v>
      </c>
      <c r="B166" s="4">
        <v>1233.984649</v>
      </c>
    </row>
    <row r="167" spans="1:2" x14ac:dyDescent="0.3">
      <c r="A167" s="3">
        <v>44672</v>
      </c>
      <c r="B167" s="4">
        <v>1262.877262</v>
      </c>
    </row>
    <row r="168" spans="1:2" x14ac:dyDescent="0.3">
      <c r="A168" s="3">
        <v>44673</v>
      </c>
      <c r="B168" s="4">
        <v>1252.3007050000001</v>
      </c>
    </row>
    <row r="169" spans="1:2" x14ac:dyDescent="0.3">
      <c r="A169" s="3">
        <v>44676</v>
      </c>
      <c r="B169" s="4">
        <v>1223.340003</v>
      </c>
    </row>
    <row r="170" spans="1:2" x14ac:dyDescent="0.3">
      <c r="A170" s="3">
        <v>44677</v>
      </c>
      <c r="B170" s="4">
        <v>1259.949417</v>
      </c>
    </row>
    <row r="171" spans="1:2" x14ac:dyDescent="0.3">
      <c r="A171" s="3">
        <v>44678</v>
      </c>
      <c r="B171" s="4">
        <v>1261.1750259999999</v>
      </c>
    </row>
    <row r="172" spans="1:2" x14ac:dyDescent="0.3">
      <c r="A172" s="3">
        <v>44679</v>
      </c>
      <c r="B172" s="4">
        <v>1280.013101</v>
      </c>
    </row>
    <row r="173" spans="1:2" x14ac:dyDescent="0.3">
      <c r="A173" s="3">
        <v>44680</v>
      </c>
      <c r="B173" s="4">
        <v>1266.576787</v>
      </c>
    </row>
    <row r="174" spans="1:2" x14ac:dyDescent="0.3">
      <c r="A174" s="3">
        <v>44683</v>
      </c>
      <c r="B174" s="4">
        <v>1262.1282779999999</v>
      </c>
    </row>
    <row r="175" spans="1:2" x14ac:dyDescent="0.3">
      <c r="A175" s="3">
        <v>44685</v>
      </c>
      <c r="B175" s="4">
        <v>1222.727198</v>
      </c>
    </row>
    <row r="176" spans="1:2" x14ac:dyDescent="0.3">
      <c r="A176" s="3">
        <v>44686</v>
      </c>
      <c r="B176" s="4">
        <v>1198.7824169999999</v>
      </c>
    </row>
    <row r="177" spans="1:2" x14ac:dyDescent="0.3">
      <c r="A177" s="3">
        <v>44687</v>
      </c>
      <c r="B177" s="4">
        <v>1189.590344</v>
      </c>
    </row>
    <row r="178" spans="1:2" x14ac:dyDescent="0.3">
      <c r="A178" s="3">
        <v>44690</v>
      </c>
      <c r="B178" s="4">
        <v>1143.13066</v>
      </c>
    </row>
    <row r="179" spans="1:2" x14ac:dyDescent="0.3">
      <c r="A179" s="3">
        <v>44691</v>
      </c>
      <c r="B179" s="4">
        <v>1123.3166369999999</v>
      </c>
    </row>
    <row r="180" spans="1:2" x14ac:dyDescent="0.3">
      <c r="A180" s="3">
        <v>44692</v>
      </c>
      <c r="B180" s="4">
        <v>1111.809524</v>
      </c>
    </row>
    <row r="181" spans="1:2" x14ac:dyDescent="0.3">
      <c r="A181" s="3">
        <v>44693</v>
      </c>
      <c r="B181" s="4">
        <v>1089.1584419999999</v>
      </c>
    </row>
    <row r="182" spans="1:2" x14ac:dyDescent="0.3">
      <c r="A182" s="3">
        <v>44694</v>
      </c>
      <c r="B182" s="4">
        <v>1101.5053250000001</v>
      </c>
    </row>
    <row r="183" spans="1:2" x14ac:dyDescent="0.3">
      <c r="A183" s="3">
        <v>44697</v>
      </c>
      <c r="B183" s="4">
        <v>1101.7776819999999</v>
      </c>
    </row>
    <row r="184" spans="1:2" x14ac:dyDescent="0.3">
      <c r="A184" s="3">
        <v>44698</v>
      </c>
      <c r="B184" s="4">
        <v>1148.055795</v>
      </c>
    </row>
    <row r="185" spans="1:2" x14ac:dyDescent="0.3">
      <c r="A185" s="3">
        <v>44699</v>
      </c>
      <c r="B185" s="4">
        <v>1152.2319460000001</v>
      </c>
    </row>
    <row r="186" spans="1:2" x14ac:dyDescent="0.3">
      <c r="A186" s="3">
        <v>44700</v>
      </c>
      <c r="B186" s="4">
        <v>1125.6770710000001</v>
      </c>
    </row>
    <row r="187" spans="1:2" x14ac:dyDescent="0.3">
      <c r="A187" s="3">
        <v>44701</v>
      </c>
      <c r="B187" s="4">
        <v>1191.315276</v>
      </c>
    </row>
    <row r="188" spans="1:2" x14ac:dyDescent="0.3">
      <c r="A188" s="3">
        <v>44704</v>
      </c>
      <c r="B188" s="4">
        <v>1183.3488139999999</v>
      </c>
    </row>
    <row r="189" spans="1:2" x14ac:dyDescent="0.3">
      <c r="A189" s="3">
        <v>44705</v>
      </c>
      <c r="B189" s="4">
        <v>1187.4114830000001</v>
      </c>
    </row>
    <row r="190" spans="1:2" x14ac:dyDescent="0.3">
      <c r="A190" s="3">
        <v>44706</v>
      </c>
      <c r="B190" s="4">
        <v>1185.6638539999999</v>
      </c>
    </row>
    <row r="191" spans="1:2" x14ac:dyDescent="0.3">
      <c r="A191" s="3">
        <v>44707</v>
      </c>
      <c r="B191" s="4">
        <v>1174.361009</v>
      </c>
    </row>
    <row r="192" spans="1:2" x14ac:dyDescent="0.3">
      <c r="A192" s="3">
        <v>44708</v>
      </c>
      <c r="B192" s="4">
        <v>1168.913855</v>
      </c>
    </row>
    <row r="193" spans="1:2" x14ac:dyDescent="0.3">
      <c r="A193" s="3">
        <v>44711</v>
      </c>
      <c r="B193" s="4">
        <v>1209.6313319999999</v>
      </c>
    </row>
    <row r="194" spans="1:2" x14ac:dyDescent="0.3">
      <c r="A194" s="3">
        <v>44712</v>
      </c>
      <c r="B194" s="4">
        <v>1195.0374979999999</v>
      </c>
    </row>
    <row r="195" spans="1:2" x14ac:dyDescent="0.3">
      <c r="A195" s="3">
        <v>44713</v>
      </c>
      <c r="B195" s="4">
        <v>1195.4233380000001</v>
      </c>
    </row>
    <row r="196" spans="1:2" x14ac:dyDescent="0.3">
      <c r="A196" s="3">
        <v>44714</v>
      </c>
      <c r="B196" s="4">
        <v>1236.6401370000001</v>
      </c>
    </row>
    <row r="197" spans="1:2" x14ac:dyDescent="0.3">
      <c r="A197" s="3">
        <v>44715</v>
      </c>
      <c r="B197" s="4">
        <v>1261.6970449999999</v>
      </c>
    </row>
    <row r="198" spans="1:2" x14ac:dyDescent="0.3">
      <c r="A198" s="3">
        <v>44718</v>
      </c>
      <c r="B198" s="4">
        <v>1256.272588</v>
      </c>
    </row>
    <row r="199" spans="1:2" x14ac:dyDescent="0.3">
      <c r="A199" s="3">
        <v>44719</v>
      </c>
      <c r="B199" s="4">
        <v>1258.6330210000001</v>
      </c>
    </row>
    <row r="200" spans="1:2" x14ac:dyDescent="0.3">
      <c r="A200" s="3">
        <v>44720</v>
      </c>
      <c r="B200" s="4">
        <v>1236.526654</v>
      </c>
    </row>
    <row r="201" spans="1:2" x14ac:dyDescent="0.3">
      <c r="A201" s="3">
        <v>44721</v>
      </c>
      <c r="B201" s="4">
        <v>1270.4351879999999</v>
      </c>
    </row>
    <row r="202" spans="1:2" x14ac:dyDescent="0.3">
      <c r="A202" s="3">
        <v>44722</v>
      </c>
      <c r="B202" s="4">
        <v>1232.0781449999999</v>
      </c>
    </row>
    <row r="203" spans="1:2" x14ac:dyDescent="0.3">
      <c r="A203" s="3">
        <v>44725</v>
      </c>
      <c r="B203" s="4">
        <v>1208.7688659999999</v>
      </c>
    </row>
    <row r="204" spans="1:2" x14ac:dyDescent="0.3">
      <c r="A204" s="3">
        <v>44726</v>
      </c>
      <c r="B204" s="4">
        <v>1192.972119</v>
      </c>
    </row>
    <row r="205" spans="1:2" x14ac:dyDescent="0.3">
      <c r="A205" s="3">
        <v>44727</v>
      </c>
      <c r="B205" s="4">
        <v>1178.537161</v>
      </c>
    </row>
    <row r="206" spans="1:2" x14ac:dyDescent="0.3">
      <c r="A206" s="3">
        <v>44728</v>
      </c>
      <c r="B206" s="4">
        <v>1162.05952</v>
      </c>
    </row>
    <row r="207" spans="1:2" x14ac:dyDescent="0.3">
      <c r="A207" s="3">
        <v>44729</v>
      </c>
      <c r="B207" s="4">
        <v>1175.6774049999999</v>
      </c>
    </row>
    <row r="208" spans="1:2" x14ac:dyDescent="0.3">
      <c r="A208" s="3">
        <v>44732</v>
      </c>
      <c r="B208" s="4">
        <v>1154.365415</v>
      </c>
    </row>
    <row r="209" spans="1:2" x14ac:dyDescent="0.3">
      <c r="A209" s="3">
        <v>44733</v>
      </c>
      <c r="B209" s="4">
        <v>1172.999221</v>
      </c>
    </row>
    <row r="210" spans="1:2" x14ac:dyDescent="0.3">
      <c r="A210" s="3">
        <v>44734</v>
      </c>
      <c r="B210" s="4">
        <v>1137.365755</v>
      </c>
    </row>
    <row r="211" spans="1:2" x14ac:dyDescent="0.3">
      <c r="A211" s="3">
        <v>44735</v>
      </c>
      <c r="B211" s="4">
        <v>1118.9135209999999</v>
      </c>
    </row>
    <row r="212" spans="1:2" x14ac:dyDescent="0.3">
      <c r="A212" s="3">
        <v>44736</v>
      </c>
      <c r="B212" s="4">
        <v>1134.846446</v>
      </c>
    </row>
    <row r="213" spans="1:2" x14ac:dyDescent="0.3">
      <c r="A213" s="3">
        <v>44739</v>
      </c>
      <c r="B213" s="4">
        <v>1131.4873680000001</v>
      </c>
    </row>
    <row r="214" spans="1:2" x14ac:dyDescent="0.3">
      <c r="A214" s="3">
        <v>44740</v>
      </c>
      <c r="B214" s="4">
        <v>1147.3975969999999</v>
      </c>
    </row>
    <row r="215" spans="1:2" x14ac:dyDescent="0.3">
      <c r="A215" s="3">
        <v>44741</v>
      </c>
      <c r="B215" s="4">
        <v>1171.206199</v>
      </c>
    </row>
    <row r="216" spans="1:2" x14ac:dyDescent="0.3">
      <c r="A216" s="3">
        <v>44742</v>
      </c>
      <c r="B216" s="4">
        <v>1178.242107</v>
      </c>
    </row>
    <row r="217" spans="1:2" x14ac:dyDescent="0.3">
      <c r="A217" s="3">
        <v>44743</v>
      </c>
      <c r="B217" s="4">
        <v>1093.379987</v>
      </c>
    </row>
    <row r="218" spans="1:2" x14ac:dyDescent="0.3">
      <c r="A218" s="3">
        <v>44746</v>
      </c>
      <c r="B218" s="4">
        <v>1095.6496340000001</v>
      </c>
    </row>
    <row r="219" spans="1:2" x14ac:dyDescent="0.3">
      <c r="A219" s="3">
        <v>44747</v>
      </c>
      <c r="B219" s="4">
        <v>1104.523956</v>
      </c>
    </row>
    <row r="220" spans="1:2" x14ac:dyDescent="0.3">
      <c r="A220" s="3">
        <v>44748</v>
      </c>
      <c r="B220" s="4">
        <v>1094.8098649999999</v>
      </c>
    </row>
    <row r="221" spans="1:2" x14ac:dyDescent="0.3">
      <c r="A221" s="3">
        <v>44749</v>
      </c>
      <c r="B221" s="4">
        <v>1084.029039</v>
      </c>
    </row>
    <row r="222" spans="1:2" x14ac:dyDescent="0.3">
      <c r="A222" s="3">
        <v>44750</v>
      </c>
      <c r="B222" s="4">
        <v>1085.527006</v>
      </c>
    </row>
    <row r="223" spans="1:2" x14ac:dyDescent="0.3">
      <c r="A223" s="3">
        <v>44753</v>
      </c>
      <c r="B223" s="4">
        <v>1100.2797149999999</v>
      </c>
    </row>
    <row r="224" spans="1:2" x14ac:dyDescent="0.3">
      <c r="A224" s="3">
        <v>44754</v>
      </c>
      <c r="B224" s="4">
        <v>1098.7136579999999</v>
      </c>
    </row>
    <row r="225" spans="1:2" x14ac:dyDescent="0.3">
      <c r="A225" s="3">
        <v>44755</v>
      </c>
      <c r="B225" s="4">
        <v>1079.2400829999999</v>
      </c>
    </row>
    <row r="226" spans="1:2" x14ac:dyDescent="0.3">
      <c r="A226" s="3">
        <v>44756</v>
      </c>
      <c r="B226" s="4">
        <v>1088.137101</v>
      </c>
    </row>
    <row r="227" spans="1:2" x14ac:dyDescent="0.3">
      <c r="A227" s="3">
        <v>44757</v>
      </c>
      <c r="B227" s="4">
        <v>1090.247873</v>
      </c>
    </row>
    <row r="228" spans="1:2" x14ac:dyDescent="0.3">
      <c r="A228" s="3">
        <v>44760</v>
      </c>
      <c r="B228" s="4">
        <v>1099.5307310000001</v>
      </c>
    </row>
    <row r="229" spans="1:2" x14ac:dyDescent="0.3">
      <c r="A229" s="3">
        <v>44761</v>
      </c>
      <c r="B229" s="4">
        <v>1106.2715840000001</v>
      </c>
    </row>
    <row r="230" spans="1:2" x14ac:dyDescent="0.3">
      <c r="A230" s="3">
        <v>44762</v>
      </c>
      <c r="B230" s="4">
        <v>1136.1855390000001</v>
      </c>
    </row>
    <row r="231" spans="1:2" x14ac:dyDescent="0.3">
      <c r="A231" s="3">
        <v>44763</v>
      </c>
      <c r="B231" s="4">
        <v>1128.604916</v>
      </c>
    </row>
    <row r="232" spans="1:2" x14ac:dyDescent="0.3">
      <c r="A232" s="3">
        <v>44764</v>
      </c>
      <c r="B232" s="4">
        <v>1136.2309310000001</v>
      </c>
    </row>
    <row r="233" spans="1:2" x14ac:dyDescent="0.3">
      <c r="A233" s="3">
        <v>44767</v>
      </c>
      <c r="B233" s="4">
        <v>1098.6909619999999</v>
      </c>
    </row>
    <row r="234" spans="1:2" x14ac:dyDescent="0.3">
      <c r="A234" s="3">
        <v>44768</v>
      </c>
      <c r="B234" s="4">
        <v>1099.190284</v>
      </c>
    </row>
    <row r="235" spans="1:2" x14ac:dyDescent="0.3">
      <c r="A235" s="3">
        <v>44769</v>
      </c>
      <c r="B235" s="4">
        <v>1098.146246</v>
      </c>
    </row>
    <row r="236" spans="1:2" x14ac:dyDescent="0.3">
      <c r="A236" s="3">
        <v>44770</v>
      </c>
      <c r="B236" s="4">
        <v>1115.3501739999999</v>
      </c>
    </row>
    <row r="237" spans="1:2" x14ac:dyDescent="0.3">
      <c r="A237" s="3">
        <v>44771</v>
      </c>
      <c r="B237" s="4">
        <v>1139.113384</v>
      </c>
    </row>
    <row r="238" spans="1:2" x14ac:dyDescent="0.3">
      <c r="A238" s="3">
        <v>44774</v>
      </c>
      <c r="B238" s="4">
        <v>1168.800373</v>
      </c>
    </row>
    <row r="239" spans="1:2" x14ac:dyDescent="0.3">
      <c r="A239" s="3">
        <v>44775</v>
      </c>
      <c r="B239" s="4">
        <v>1173.2488820000001</v>
      </c>
    </row>
    <row r="240" spans="1:2" x14ac:dyDescent="0.3">
      <c r="A240" s="3">
        <v>44776</v>
      </c>
      <c r="B240" s="4">
        <v>1183.099152</v>
      </c>
    </row>
    <row r="241" spans="1:2" x14ac:dyDescent="0.3">
      <c r="A241" s="3">
        <v>44777</v>
      </c>
      <c r="B241" s="4">
        <v>1167.4612810000001</v>
      </c>
    </row>
    <row r="242" spans="1:2" x14ac:dyDescent="0.3">
      <c r="A242" s="3">
        <v>44778</v>
      </c>
      <c r="B242" s="4">
        <v>1150.257353</v>
      </c>
    </row>
    <row r="243" spans="1:2" x14ac:dyDescent="0.3">
      <c r="A243" s="3">
        <v>44781</v>
      </c>
      <c r="B243" s="4">
        <v>1165.305116</v>
      </c>
    </row>
    <row r="244" spans="1:2" x14ac:dyDescent="0.3">
      <c r="A244" s="3">
        <v>44783</v>
      </c>
      <c r="B244" s="4">
        <v>1172.2729340000001</v>
      </c>
    </row>
    <row r="245" spans="1:2" x14ac:dyDescent="0.3">
      <c r="A245" s="3">
        <v>44784</v>
      </c>
      <c r="B245" s="4">
        <v>1176.176727</v>
      </c>
    </row>
    <row r="246" spans="1:2" x14ac:dyDescent="0.3">
      <c r="A246" s="3">
        <v>44785</v>
      </c>
      <c r="B246" s="4">
        <v>1195.1963740000001</v>
      </c>
    </row>
    <row r="247" spans="1:2" x14ac:dyDescent="0.3">
      <c r="A247" s="3">
        <v>44789</v>
      </c>
      <c r="B247" s="4">
        <v>1203.503283</v>
      </c>
    </row>
    <row r="248" spans="1:2" x14ac:dyDescent="0.3">
      <c r="A248" s="3">
        <v>44790</v>
      </c>
      <c r="B248" s="4">
        <v>1209.790207</v>
      </c>
    </row>
    <row r="249" spans="1:2" x14ac:dyDescent="0.3">
      <c r="A249" s="3">
        <v>44791</v>
      </c>
      <c r="B249" s="4">
        <v>1208.042578</v>
      </c>
    </row>
    <row r="250" spans="1:2" x14ac:dyDescent="0.3">
      <c r="A250" s="3">
        <v>44792</v>
      </c>
      <c r="B250" s="4">
        <v>1186.5036239999999</v>
      </c>
    </row>
    <row r="251" spans="1:2" x14ac:dyDescent="0.3">
      <c r="A251" s="3">
        <v>44795</v>
      </c>
      <c r="B251" s="4">
        <v>1183.2126350000001</v>
      </c>
    </row>
    <row r="252" spans="1:2" x14ac:dyDescent="0.3">
      <c r="A252" s="3">
        <v>44796</v>
      </c>
      <c r="B252" s="4">
        <v>1201.460601</v>
      </c>
    </row>
    <row r="253" spans="1:2" x14ac:dyDescent="0.3">
      <c r="A253" s="3">
        <v>44797</v>
      </c>
      <c r="B253" s="4">
        <v>1198.2603979999999</v>
      </c>
    </row>
    <row r="254" spans="1:2" x14ac:dyDescent="0.3">
      <c r="A254" s="3">
        <v>44798</v>
      </c>
      <c r="B254" s="4">
        <v>1194.76514</v>
      </c>
    </row>
    <row r="255" spans="1:2" x14ac:dyDescent="0.3">
      <c r="A255" s="3">
        <v>44799</v>
      </c>
      <c r="B255" s="4">
        <v>1188.3874310000001</v>
      </c>
    </row>
    <row r="256" spans="1:2" x14ac:dyDescent="0.3">
      <c r="A256" s="3">
        <v>44802</v>
      </c>
      <c r="B256" s="4">
        <v>1179.1499659999999</v>
      </c>
    </row>
    <row r="257" spans="1:2" x14ac:dyDescent="0.3">
      <c r="A257" s="3">
        <v>44803</v>
      </c>
      <c r="B257" s="4">
        <v>1197.443325</v>
      </c>
    </row>
    <row r="258" spans="1:2" x14ac:dyDescent="0.3">
      <c r="A258" s="3">
        <v>44805</v>
      </c>
      <c r="B258" s="4">
        <v>1162.241092</v>
      </c>
    </row>
    <row r="259" spans="1:2" x14ac:dyDescent="0.3">
      <c r="A259" s="3">
        <v>44806</v>
      </c>
      <c r="B259" s="4">
        <v>1148.6686</v>
      </c>
    </row>
    <row r="260" spans="1:2" x14ac:dyDescent="0.3">
      <c r="A260" s="3">
        <v>44809</v>
      </c>
      <c r="B260" s="4">
        <v>1166.5080290000001</v>
      </c>
    </row>
    <row r="261" spans="1:2" x14ac:dyDescent="0.3">
      <c r="A261" s="3">
        <v>44810</v>
      </c>
      <c r="B261" s="4">
        <v>1178.786822</v>
      </c>
    </row>
    <row r="262" spans="1:2" x14ac:dyDescent="0.3">
      <c r="A262" s="3">
        <v>44811</v>
      </c>
      <c r="B262" s="4">
        <v>1171.932487</v>
      </c>
    </row>
    <row r="263" spans="1:2" x14ac:dyDescent="0.3">
      <c r="A263" s="3">
        <v>44812</v>
      </c>
      <c r="B263" s="4">
        <v>1173.5893289999999</v>
      </c>
    </row>
    <row r="264" spans="1:2" x14ac:dyDescent="0.3">
      <c r="A264" s="3">
        <v>44813</v>
      </c>
      <c r="B264" s="4">
        <v>1166.281064</v>
      </c>
    </row>
    <row r="265" spans="1:2" x14ac:dyDescent="0.3">
      <c r="A265" s="3">
        <v>44816</v>
      </c>
      <c r="B265" s="4">
        <v>1179.331537</v>
      </c>
    </row>
    <row r="266" spans="1:2" x14ac:dyDescent="0.3">
      <c r="A266" s="3">
        <v>44817</v>
      </c>
      <c r="B266" s="4">
        <v>1189.181808</v>
      </c>
    </row>
    <row r="267" spans="1:2" x14ac:dyDescent="0.3">
      <c r="A267" s="3">
        <v>44818</v>
      </c>
      <c r="B267" s="4">
        <v>1174.9284210000001</v>
      </c>
    </row>
    <row r="268" spans="1:2" x14ac:dyDescent="0.3">
      <c r="A268" s="3">
        <v>44819</v>
      </c>
      <c r="B268" s="4">
        <v>1163.28513</v>
      </c>
    </row>
    <row r="269" spans="1:2" x14ac:dyDescent="0.3">
      <c r="A269" s="3">
        <v>44820</v>
      </c>
      <c r="B269" s="4">
        <v>1134.4606060000001</v>
      </c>
    </row>
    <row r="270" spans="1:2" x14ac:dyDescent="0.3">
      <c r="A270" s="3">
        <v>44823</v>
      </c>
      <c r="B270" s="4">
        <v>1135.9358769999999</v>
      </c>
    </row>
    <row r="271" spans="1:2" x14ac:dyDescent="0.3">
      <c r="A271" s="3">
        <v>44824</v>
      </c>
      <c r="B271" s="4">
        <v>1136.1174490000001</v>
      </c>
    </row>
    <row r="272" spans="1:2" x14ac:dyDescent="0.3">
      <c r="A272" s="3">
        <v>44825</v>
      </c>
      <c r="B272" s="4">
        <v>1139.2495630000001</v>
      </c>
    </row>
    <row r="273" spans="1:2" x14ac:dyDescent="0.3">
      <c r="A273" s="3">
        <v>44826</v>
      </c>
      <c r="B273" s="4">
        <v>1128.51413</v>
      </c>
    </row>
    <row r="274" spans="1:2" x14ac:dyDescent="0.3">
      <c r="A274" s="3">
        <v>44827</v>
      </c>
      <c r="B274" s="4">
        <v>1107.361015</v>
      </c>
    </row>
    <row r="275" spans="1:2" x14ac:dyDescent="0.3">
      <c r="A275" s="3">
        <v>44830</v>
      </c>
      <c r="B275" s="4">
        <v>1079.1492969999999</v>
      </c>
    </row>
    <row r="276" spans="1:2" x14ac:dyDescent="0.3">
      <c r="A276" s="3">
        <v>44831</v>
      </c>
      <c r="B276" s="4">
        <v>1087.728564</v>
      </c>
    </row>
    <row r="277" spans="1:2" x14ac:dyDescent="0.3">
      <c r="A277" s="3">
        <v>44832</v>
      </c>
      <c r="B277" s="4">
        <v>1058.7678619999999</v>
      </c>
    </row>
    <row r="278" spans="1:2" x14ac:dyDescent="0.3">
      <c r="A278" s="3">
        <v>44833</v>
      </c>
      <c r="B278" s="4">
        <v>1055.5222659999999</v>
      </c>
    </row>
    <row r="279" spans="1:2" x14ac:dyDescent="0.3">
      <c r="A279" s="3">
        <v>44834</v>
      </c>
      <c r="B279" s="4">
        <v>1079.3308689999999</v>
      </c>
    </row>
    <row r="280" spans="1:2" x14ac:dyDescent="0.3">
      <c r="A280" s="3">
        <v>44837</v>
      </c>
      <c r="B280" s="4">
        <v>1075.5859499999999</v>
      </c>
    </row>
    <row r="281" spans="1:2" x14ac:dyDescent="0.3">
      <c r="A281" s="3">
        <v>44838</v>
      </c>
      <c r="B281" s="4">
        <v>1095.422669</v>
      </c>
    </row>
    <row r="282" spans="1:2" x14ac:dyDescent="0.3">
      <c r="A282" s="3">
        <v>44840</v>
      </c>
      <c r="B282" s="4">
        <v>1099.462642</v>
      </c>
    </row>
    <row r="283" spans="1:2" x14ac:dyDescent="0.3">
      <c r="A283" s="3">
        <v>44841</v>
      </c>
      <c r="B283" s="4">
        <v>1104.115419</v>
      </c>
    </row>
    <row r="284" spans="1:2" x14ac:dyDescent="0.3">
      <c r="A284" s="3">
        <v>44844</v>
      </c>
      <c r="B284" s="4">
        <v>1092.0635910000001</v>
      </c>
    </row>
    <row r="285" spans="1:2" x14ac:dyDescent="0.3">
      <c r="A285" s="3">
        <v>44845</v>
      </c>
      <c r="B285" s="4">
        <v>1070.3203679999999</v>
      </c>
    </row>
    <row r="286" spans="1:2" x14ac:dyDescent="0.3">
      <c r="A286" s="3">
        <v>44846</v>
      </c>
      <c r="B286" s="4">
        <v>1078.1960449999999</v>
      </c>
    </row>
    <row r="287" spans="1:2" x14ac:dyDescent="0.3">
      <c r="A287" s="3">
        <v>44847</v>
      </c>
      <c r="B287" s="4">
        <v>1081.6232130000001</v>
      </c>
    </row>
    <row r="288" spans="1:2" x14ac:dyDescent="0.3">
      <c r="A288" s="3">
        <v>44848</v>
      </c>
      <c r="B288" s="4">
        <v>1076.130666</v>
      </c>
    </row>
    <row r="289" spans="1:2" x14ac:dyDescent="0.3">
      <c r="A289" s="3">
        <v>44851</v>
      </c>
      <c r="B289" s="4">
        <v>1093.402683</v>
      </c>
    </row>
    <row r="290" spans="1:2" x14ac:dyDescent="0.3">
      <c r="A290" s="3">
        <v>44852</v>
      </c>
      <c r="B290" s="4">
        <v>1112.6946869999999</v>
      </c>
    </row>
    <row r="291" spans="1:2" x14ac:dyDescent="0.3">
      <c r="A291" s="3">
        <v>44853</v>
      </c>
      <c r="B291" s="4">
        <v>1132.0547799999999</v>
      </c>
    </row>
    <row r="292" spans="1:2" x14ac:dyDescent="0.3">
      <c r="A292" s="3">
        <v>44854</v>
      </c>
      <c r="B292" s="4">
        <v>1135.096108</v>
      </c>
    </row>
    <row r="293" spans="1:2" x14ac:dyDescent="0.3">
      <c r="A293" s="3">
        <v>44855</v>
      </c>
      <c r="B293" s="4">
        <v>1121.9321520000001</v>
      </c>
    </row>
    <row r="294" spans="1:2" x14ac:dyDescent="0.3">
      <c r="A294" s="3">
        <v>44858</v>
      </c>
      <c r="B294" s="4">
        <v>1125.6770710000001</v>
      </c>
    </row>
    <row r="295" spans="1:2" x14ac:dyDescent="0.3">
      <c r="A295" s="3">
        <v>44859</v>
      </c>
      <c r="B295" s="4">
        <v>1108.291571</v>
      </c>
    </row>
    <row r="296" spans="1:2" x14ac:dyDescent="0.3">
      <c r="A296" s="3">
        <v>44861</v>
      </c>
      <c r="B296" s="4">
        <v>1112.6492940000001</v>
      </c>
    </row>
    <row r="297" spans="1:2" x14ac:dyDescent="0.3">
      <c r="A297" s="3">
        <v>44862</v>
      </c>
      <c r="B297" s="4">
        <v>1146.6940059999999</v>
      </c>
    </row>
    <row r="298" spans="1:2" x14ac:dyDescent="0.3">
      <c r="A298" s="3">
        <v>44865</v>
      </c>
      <c r="B298" s="4">
        <v>1157.338653</v>
      </c>
    </row>
    <row r="299" spans="1:2" x14ac:dyDescent="0.3">
      <c r="A299" s="3">
        <v>44866</v>
      </c>
      <c r="B299" s="4">
        <v>1148.373546</v>
      </c>
    </row>
    <row r="300" spans="1:2" x14ac:dyDescent="0.3">
      <c r="A300" s="3">
        <v>44867</v>
      </c>
      <c r="B300" s="4">
        <v>1155.5456320000001</v>
      </c>
    </row>
    <row r="301" spans="1:2" x14ac:dyDescent="0.3">
      <c r="A301" s="3">
        <v>44868</v>
      </c>
      <c r="B301" s="4">
        <v>1159.857962</v>
      </c>
    </row>
    <row r="302" spans="1:2" x14ac:dyDescent="0.3">
      <c r="A302" s="3">
        <v>44869</v>
      </c>
      <c r="B302" s="4">
        <v>1176.9257110000001</v>
      </c>
    </row>
    <row r="303" spans="1:2" x14ac:dyDescent="0.3">
      <c r="A303" s="3">
        <v>44872</v>
      </c>
      <c r="B303" s="4">
        <v>1183.2126350000001</v>
      </c>
    </row>
    <row r="304" spans="1:2" x14ac:dyDescent="0.3">
      <c r="A304" s="3">
        <v>44874</v>
      </c>
      <c r="B304" s="4">
        <v>1182.032418</v>
      </c>
    </row>
    <row r="305" spans="1:2" x14ac:dyDescent="0.3">
      <c r="A305" s="3">
        <v>44875</v>
      </c>
      <c r="B305" s="4">
        <v>1167.733639</v>
      </c>
    </row>
    <row r="306" spans="1:2" x14ac:dyDescent="0.3">
      <c r="A306" s="3">
        <v>44876</v>
      </c>
      <c r="B306" s="4">
        <v>1194.651658</v>
      </c>
    </row>
    <row r="307" spans="1:2" x14ac:dyDescent="0.3">
      <c r="A307" s="3">
        <v>44879</v>
      </c>
      <c r="B307" s="4">
        <v>1188.864057</v>
      </c>
    </row>
    <row r="308" spans="1:2" x14ac:dyDescent="0.3">
      <c r="A308" s="3">
        <v>44880</v>
      </c>
      <c r="B308" s="4">
        <v>1183.530385</v>
      </c>
    </row>
    <row r="309" spans="1:2" x14ac:dyDescent="0.3">
      <c r="A309" s="3">
        <v>44881</v>
      </c>
      <c r="B309" s="4">
        <v>1176.7441389999999</v>
      </c>
    </row>
    <row r="310" spans="1:2" x14ac:dyDescent="0.3">
      <c r="A310" s="3">
        <v>44882</v>
      </c>
      <c r="B310" s="4">
        <v>1179.7854669999999</v>
      </c>
    </row>
    <row r="311" spans="1:2" x14ac:dyDescent="0.3">
      <c r="A311" s="3">
        <v>44883</v>
      </c>
      <c r="B311" s="4">
        <v>1179.1499659999999</v>
      </c>
    </row>
    <row r="312" spans="1:2" x14ac:dyDescent="0.3">
      <c r="A312" s="3">
        <v>44886</v>
      </c>
      <c r="B312" s="4">
        <v>1157.928762</v>
      </c>
    </row>
    <row r="313" spans="1:2" x14ac:dyDescent="0.3">
      <c r="A313" s="3">
        <v>44887</v>
      </c>
      <c r="B313" s="4">
        <v>1164.351864</v>
      </c>
    </row>
    <row r="314" spans="1:2" x14ac:dyDescent="0.3">
      <c r="A314" s="3">
        <v>44888</v>
      </c>
      <c r="B314" s="4">
        <v>1160.7204280000001</v>
      </c>
    </row>
    <row r="315" spans="1:2" x14ac:dyDescent="0.3">
      <c r="A315" s="3">
        <v>44889</v>
      </c>
      <c r="B315" s="4">
        <v>1170.7295730000001</v>
      </c>
    </row>
    <row r="316" spans="1:2" x14ac:dyDescent="0.3">
      <c r="A316" s="3">
        <v>44890</v>
      </c>
      <c r="B316" s="4">
        <v>1188.2058589999999</v>
      </c>
    </row>
    <row r="317" spans="1:2" x14ac:dyDescent="0.3">
      <c r="A317" s="3">
        <v>44893</v>
      </c>
      <c r="B317" s="4">
        <v>1229.036818</v>
      </c>
    </row>
    <row r="318" spans="1:2" x14ac:dyDescent="0.3">
      <c r="A318" s="3">
        <v>44894</v>
      </c>
      <c r="B318" s="4">
        <v>1231.14759</v>
      </c>
    </row>
    <row r="319" spans="1:2" x14ac:dyDescent="0.3">
      <c r="A319" s="3">
        <v>44895</v>
      </c>
      <c r="B319" s="4">
        <v>1239.84034</v>
      </c>
    </row>
    <row r="320" spans="1:2" x14ac:dyDescent="0.3">
      <c r="A320" s="3">
        <v>44896</v>
      </c>
      <c r="B320" s="4">
        <v>1236.186207</v>
      </c>
    </row>
    <row r="321" spans="1:2" x14ac:dyDescent="0.3">
      <c r="A321" s="3">
        <v>44897</v>
      </c>
      <c r="B321" s="4">
        <v>1235.664188</v>
      </c>
    </row>
    <row r="322" spans="1:2" x14ac:dyDescent="0.3">
      <c r="A322" s="3">
        <v>44900</v>
      </c>
      <c r="B322" s="4">
        <v>1217.6431869999999</v>
      </c>
    </row>
    <row r="323" spans="1:2" x14ac:dyDescent="0.3">
      <c r="A323" s="3">
        <v>44901</v>
      </c>
      <c r="B323" s="4">
        <v>1221.161141</v>
      </c>
    </row>
    <row r="324" spans="1:2" x14ac:dyDescent="0.3">
      <c r="A324" s="3">
        <v>44902</v>
      </c>
      <c r="B324" s="4">
        <v>1203.14014</v>
      </c>
    </row>
    <row r="325" spans="1:2" x14ac:dyDescent="0.3">
      <c r="A325" s="3">
        <v>44903</v>
      </c>
      <c r="B325" s="4">
        <v>1202.5727280000001</v>
      </c>
    </row>
    <row r="326" spans="1:2" x14ac:dyDescent="0.3">
      <c r="A326" s="3">
        <v>44904</v>
      </c>
      <c r="B326" s="4">
        <v>1184.347458</v>
      </c>
    </row>
    <row r="327" spans="1:2" x14ac:dyDescent="0.3">
      <c r="A327" s="3">
        <v>44907</v>
      </c>
      <c r="B327" s="4">
        <v>1186.163176</v>
      </c>
    </row>
    <row r="328" spans="1:2" x14ac:dyDescent="0.3">
      <c r="A328" s="3">
        <v>44908</v>
      </c>
      <c r="B328" s="4">
        <v>1191.564938</v>
      </c>
    </row>
    <row r="329" spans="1:2" x14ac:dyDescent="0.3">
      <c r="A329" s="3">
        <v>44909</v>
      </c>
      <c r="B329" s="4">
        <v>1187.2526069999999</v>
      </c>
    </row>
    <row r="330" spans="1:2" x14ac:dyDescent="0.3">
      <c r="A330" s="3">
        <v>44910</v>
      </c>
      <c r="B330" s="4">
        <v>1170.389126</v>
      </c>
    </row>
    <row r="331" spans="1:2" x14ac:dyDescent="0.3">
      <c r="A331" s="3">
        <v>44911</v>
      </c>
      <c r="B331" s="4">
        <v>1164.601525</v>
      </c>
    </row>
    <row r="332" spans="1:2" x14ac:dyDescent="0.3">
      <c r="A332" s="3">
        <v>44914</v>
      </c>
      <c r="B332" s="4">
        <v>1179.8989489999999</v>
      </c>
    </row>
    <row r="333" spans="1:2" x14ac:dyDescent="0.3">
      <c r="A333" s="3">
        <v>44915</v>
      </c>
      <c r="B333" s="4">
        <v>1190.112363</v>
      </c>
    </row>
    <row r="334" spans="1:2" x14ac:dyDescent="0.3">
      <c r="A334" s="3">
        <v>44916</v>
      </c>
      <c r="B334" s="4">
        <v>1173.180793</v>
      </c>
    </row>
    <row r="335" spans="1:2" x14ac:dyDescent="0.3">
      <c r="A335" s="3">
        <v>44917</v>
      </c>
      <c r="B335" s="4">
        <v>1170.139465</v>
      </c>
    </row>
    <row r="336" spans="1:2" x14ac:dyDescent="0.3">
      <c r="A336" s="3">
        <v>44918</v>
      </c>
      <c r="B336" s="4">
        <v>1135.8223949999999</v>
      </c>
    </row>
    <row r="337" spans="1:2" x14ac:dyDescent="0.3">
      <c r="A337" s="3">
        <v>44921</v>
      </c>
      <c r="B337" s="4">
        <v>1145.7407539999999</v>
      </c>
    </row>
    <row r="338" spans="1:2" x14ac:dyDescent="0.3">
      <c r="A338" s="3">
        <v>44922</v>
      </c>
      <c r="B338" s="4">
        <v>1155.114399</v>
      </c>
    </row>
    <row r="339" spans="1:2" x14ac:dyDescent="0.3">
      <c r="A339" s="3">
        <v>44923</v>
      </c>
      <c r="B339" s="4">
        <v>1155.000916</v>
      </c>
    </row>
    <row r="340" spans="1:2" x14ac:dyDescent="0.3">
      <c r="A340" s="3">
        <v>44924</v>
      </c>
      <c r="B340" s="4">
        <v>1154.478897</v>
      </c>
    </row>
    <row r="341" spans="1:2" x14ac:dyDescent="0.3">
      <c r="A341" s="3">
        <v>44925</v>
      </c>
      <c r="B341" s="4">
        <v>1156.2492219999999</v>
      </c>
    </row>
    <row r="342" spans="1:2" x14ac:dyDescent="0.3">
      <c r="A342" s="3">
        <v>44928</v>
      </c>
      <c r="B342" s="4">
        <v>1169.2769989999999</v>
      </c>
    </row>
    <row r="343" spans="1:2" x14ac:dyDescent="0.3">
      <c r="A343" s="3">
        <v>44929</v>
      </c>
      <c r="B343" s="4">
        <v>1160.7204280000001</v>
      </c>
    </row>
    <row r="344" spans="1:2" x14ac:dyDescent="0.3">
      <c r="A344" s="3">
        <v>44930</v>
      </c>
      <c r="B344" s="4">
        <v>1143.244142</v>
      </c>
    </row>
    <row r="345" spans="1:2" x14ac:dyDescent="0.3">
      <c r="A345" s="3">
        <v>44931</v>
      </c>
      <c r="B345" s="4">
        <v>1141.2014590000001</v>
      </c>
    </row>
    <row r="346" spans="1:2" x14ac:dyDescent="0.3">
      <c r="A346" s="3">
        <v>44932</v>
      </c>
      <c r="B346" s="4">
        <v>1151.5737489999999</v>
      </c>
    </row>
    <row r="347" spans="1:2" x14ac:dyDescent="0.3">
      <c r="A347" s="3">
        <v>44935</v>
      </c>
      <c r="B347" s="4">
        <v>1178.764126</v>
      </c>
    </row>
    <row r="348" spans="1:2" x14ac:dyDescent="0.3">
      <c r="A348" s="3">
        <v>44936</v>
      </c>
      <c r="B348" s="4">
        <v>1161.3332330000001</v>
      </c>
    </row>
    <row r="349" spans="1:2" x14ac:dyDescent="0.3">
      <c r="A349" s="3">
        <v>44937</v>
      </c>
      <c r="B349" s="4">
        <v>1146.6940059999999</v>
      </c>
    </row>
    <row r="350" spans="1:2" x14ac:dyDescent="0.3">
      <c r="A350" s="3">
        <v>44938</v>
      </c>
      <c r="B350" s="4">
        <v>1121.9321520000001</v>
      </c>
    </row>
    <row r="351" spans="1:2" x14ac:dyDescent="0.3">
      <c r="A351" s="3">
        <v>44939</v>
      </c>
      <c r="B351" s="4">
        <v>1120.116434</v>
      </c>
    </row>
    <row r="352" spans="1:2" x14ac:dyDescent="0.3">
      <c r="A352" s="3">
        <v>44942</v>
      </c>
      <c r="B352" s="4">
        <v>1109.449091</v>
      </c>
    </row>
    <row r="353" spans="1:2" x14ac:dyDescent="0.3">
      <c r="A353" s="3">
        <v>44943</v>
      </c>
      <c r="B353" s="4">
        <v>1125.2004449999999</v>
      </c>
    </row>
    <row r="354" spans="1:2" x14ac:dyDescent="0.3">
      <c r="A354" s="3">
        <v>44944</v>
      </c>
      <c r="B354" s="4">
        <v>1123.339334</v>
      </c>
    </row>
    <row r="355" spans="1:2" x14ac:dyDescent="0.3">
      <c r="A355" s="3">
        <v>44945</v>
      </c>
      <c r="B355" s="4">
        <v>1122.13642</v>
      </c>
    </row>
    <row r="356" spans="1:2" x14ac:dyDescent="0.3">
      <c r="A356" s="3">
        <v>44946</v>
      </c>
      <c r="B356" s="4">
        <v>1108.7908930000001</v>
      </c>
    </row>
    <row r="357" spans="1:2" x14ac:dyDescent="0.3">
      <c r="A357" s="3">
        <v>44949</v>
      </c>
      <c r="B357" s="4">
        <v>1103.1848640000001</v>
      </c>
    </row>
    <row r="358" spans="1:2" x14ac:dyDescent="0.3">
      <c r="A358" s="3">
        <v>44950</v>
      </c>
      <c r="B358" s="4">
        <v>1096.6709760000001</v>
      </c>
    </row>
    <row r="359" spans="1:2" x14ac:dyDescent="0.3">
      <c r="A359" s="3">
        <v>44951</v>
      </c>
      <c r="B359" s="4">
        <v>1081.50973</v>
      </c>
    </row>
    <row r="360" spans="1:2" x14ac:dyDescent="0.3">
      <c r="A360" s="3">
        <v>44953</v>
      </c>
      <c r="B360" s="4">
        <v>1060.992117</v>
      </c>
    </row>
    <row r="361" spans="1:2" x14ac:dyDescent="0.3">
      <c r="A361" s="3">
        <v>44956</v>
      </c>
      <c r="B361" s="4">
        <v>1071.160138</v>
      </c>
    </row>
    <row r="362" spans="1:2" x14ac:dyDescent="0.3">
      <c r="A362" s="3">
        <v>44957</v>
      </c>
      <c r="B362" s="4">
        <v>1068.4819540000001</v>
      </c>
    </row>
    <row r="363" spans="1:2" x14ac:dyDescent="0.3">
      <c r="A363" s="3">
        <v>44958</v>
      </c>
      <c r="B363" s="4">
        <v>1062.149637</v>
      </c>
    </row>
    <row r="364" spans="1:2" x14ac:dyDescent="0.3">
      <c r="A364" s="3">
        <v>44959</v>
      </c>
      <c r="B364" s="4">
        <v>1056.27125</v>
      </c>
    </row>
    <row r="365" spans="1:2" x14ac:dyDescent="0.3">
      <c r="A365" s="3">
        <v>44960</v>
      </c>
      <c r="B365" s="4">
        <v>1057.201806</v>
      </c>
    </row>
    <row r="366" spans="1:2" x14ac:dyDescent="0.3">
      <c r="A366" s="3">
        <v>44963</v>
      </c>
      <c r="B366" s="4">
        <v>1049.2353430000001</v>
      </c>
    </row>
    <row r="367" spans="1:2" x14ac:dyDescent="0.3">
      <c r="A367" s="3">
        <v>44964</v>
      </c>
      <c r="B367" s="4">
        <v>1046.716034</v>
      </c>
    </row>
    <row r="368" spans="1:2" x14ac:dyDescent="0.3">
      <c r="A368" s="3">
        <v>44965</v>
      </c>
      <c r="B368" s="4">
        <v>1067.619488</v>
      </c>
    </row>
    <row r="369" spans="1:2" x14ac:dyDescent="0.3">
      <c r="A369" s="3">
        <v>44966</v>
      </c>
      <c r="B369" s="4">
        <v>1069.4805980000001</v>
      </c>
    </row>
    <row r="370" spans="1:2" x14ac:dyDescent="0.3">
      <c r="A370" s="3">
        <v>44967</v>
      </c>
      <c r="B370" s="4">
        <v>1060.674366</v>
      </c>
    </row>
    <row r="371" spans="1:2" x14ac:dyDescent="0.3">
      <c r="A371" s="3">
        <v>44970</v>
      </c>
      <c r="B371" s="4">
        <v>1054.6371039999999</v>
      </c>
    </row>
    <row r="372" spans="1:2" x14ac:dyDescent="0.3">
      <c r="A372" s="3">
        <v>44971</v>
      </c>
      <c r="B372" s="4">
        <v>1079.489744</v>
      </c>
    </row>
    <row r="373" spans="1:2" x14ac:dyDescent="0.3">
      <c r="A373" s="3">
        <v>44972</v>
      </c>
      <c r="B373" s="4">
        <v>1103.9338479999999</v>
      </c>
    </row>
    <row r="374" spans="1:2" x14ac:dyDescent="0.3">
      <c r="A374" s="3">
        <v>44973</v>
      </c>
      <c r="B374" s="4">
        <v>1103.071381</v>
      </c>
    </row>
    <row r="375" spans="1:2" x14ac:dyDescent="0.3">
      <c r="A375" s="3">
        <v>44974</v>
      </c>
      <c r="B375" s="4">
        <v>1107.678766</v>
      </c>
    </row>
    <row r="376" spans="1:2" x14ac:dyDescent="0.3">
      <c r="A376" s="3">
        <v>44977</v>
      </c>
      <c r="B376" s="4">
        <v>1095.9673849999999</v>
      </c>
    </row>
    <row r="377" spans="1:2" x14ac:dyDescent="0.3">
      <c r="A377" s="3">
        <v>44978</v>
      </c>
      <c r="B377" s="4">
        <v>1104.9097959999999</v>
      </c>
    </row>
    <row r="378" spans="1:2" x14ac:dyDescent="0.3">
      <c r="A378" s="3">
        <v>44979</v>
      </c>
      <c r="B378" s="4">
        <v>1079.8528879999999</v>
      </c>
    </row>
    <row r="379" spans="1:2" x14ac:dyDescent="0.3">
      <c r="A379" s="3">
        <v>44980</v>
      </c>
      <c r="B379" s="4">
        <v>1074.678091</v>
      </c>
    </row>
    <row r="380" spans="1:2" x14ac:dyDescent="0.3">
      <c r="A380" s="3">
        <v>44981</v>
      </c>
      <c r="B380" s="4">
        <v>1082.031749</v>
      </c>
    </row>
    <row r="381" spans="1:2" x14ac:dyDescent="0.3">
      <c r="A381" s="3">
        <v>44984</v>
      </c>
      <c r="B381" s="4">
        <v>1074.836967</v>
      </c>
    </row>
    <row r="382" spans="1:2" x14ac:dyDescent="0.3">
      <c r="A382" s="3">
        <v>44985</v>
      </c>
      <c r="B382" s="4">
        <v>1054.27396</v>
      </c>
    </row>
    <row r="383" spans="1:2" x14ac:dyDescent="0.3">
      <c r="A383" s="3">
        <v>44986</v>
      </c>
      <c r="B383" s="4">
        <v>1063.965355</v>
      </c>
    </row>
    <row r="384" spans="1:2" x14ac:dyDescent="0.3">
      <c r="A384" s="3">
        <v>44987</v>
      </c>
      <c r="B384" s="4">
        <v>1055.862713</v>
      </c>
    </row>
    <row r="385" spans="1:2" x14ac:dyDescent="0.3">
      <c r="A385" s="3">
        <v>44988</v>
      </c>
      <c r="B385" s="4">
        <v>1082.8034290000001</v>
      </c>
    </row>
    <row r="386" spans="1:2" x14ac:dyDescent="0.3">
      <c r="A386" s="3">
        <v>44991</v>
      </c>
      <c r="B386" s="4">
        <v>1093.379987</v>
      </c>
    </row>
    <row r="387" spans="1:2" x14ac:dyDescent="0.3">
      <c r="A387" s="3">
        <v>44993</v>
      </c>
      <c r="B387" s="4">
        <v>1097.3064770000001</v>
      </c>
    </row>
    <row r="388" spans="1:2" x14ac:dyDescent="0.3">
      <c r="A388" s="3">
        <v>44994</v>
      </c>
      <c r="B388" s="4">
        <v>1070.9331729999999</v>
      </c>
    </row>
    <row r="389" spans="1:2" x14ac:dyDescent="0.3">
      <c r="A389" s="3">
        <v>44995</v>
      </c>
      <c r="B389" s="4">
        <v>1054.34205</v>
      </c>
    </row>
    <row r="390" spans="1:2" x14ac:dyDescent="0.3">
      <c r="A390" s="3">
        <v>44998</v>
      </c>
      <c r="B390" s="4">
        <v>1037.001943</v>
      </c>
    </row>
    <row r="391" spans="1:2" x14ac:dyDescent="0.3">
      <c r="A391" s="3">
        <v>44999</v>
      </c>
      <c r="B391" s="4">
        <v>1033.120846</v>
      </c>
    </row>
    <row r="392" spans="1:2" x14ac:dyDescent="0.3">
      <c r="A392" s="3">
        <v>45000</v>
      </c>
      <c r="B392" s="4">
        <v>1015.462988</v>
      </c>
    </row>
    <row r="393" spans="1:2" x14ac:dyDescent="0.3">
      <c r="A393" s="3">
        <v>45001</v>
      </c>
      <c r="B393" s="4">
        <v>1010.401674</v>
      </c>
    </row>
    <row r="394" spans="1:2" x14ac:dyDescent="0.3">
      <c r="A394" s="3">
        <v>45002</v>
      </c>
      <c r="B394" s="4">
        <v>1009.130671</v>
      </c>
    </row>
    <row r="395" spans="1:2" x14ac:dyDescent="0.3">
      <c r="A395" s="3">
        <v>45005</v>
      </c>
      <c r="B395" s="4">
        <v>999.212312</v>
      </c>
    </row>
    <row r="396" spans="1:2" x14ac:dyDescent="0.3">
      <c r="A396" s="3">
        <v>45006</v>
      </c>
      <c r="B396" s="4">
        <v>1030.283786</v>
      </c>
    </row>
    <row r="397" spans="1:2" x14ac:dyDescent="0.3">
      <c r="A397" s="3">
        <v>45007</v>
      </c>
      <c r="B397" s="4">
        <v>1033.4159</v>
      </c>
    </row>
    <row r="398" spans="1:2" x14ac:dyDescent="0.3">
      <c r="A398" s="3">
        <v>45008</v>
      </c>
      <c r="B398" s="4">
        <v>1020.34273</v>
      </c>
    </row>
    <row r="399" spans="1:2" x14ac:dyDescent="0.3">
      <c r="A399" s="3">
        <v>45009</v>
      </c>
      <c r="B399" s="4">
        <v>1000.142867</v>
      </c>
    </row>
    <row r="400" spans="1:2" x14ac:dyDescent="0.3">
      <c r="A400" s="3">
        <v>45012</v>
      </c>
      <c r="B400" s="4">
        <v>1015.6899529999999</v>
      </c>
    </row>
    <row r="401" spans="1:2" x14ac:dyDescent="0.3">
      <c r="A401" s="3">
        <v>45013</v>
      </c>
      <c r="B401" s="4">
        <v>1020.4335160000001</v>
      </c>
    </row>
    <row r="402" spans="1:2" x14ac:dyDescent="0.3">
      <c r="A402" s="3">
        <v>45014</v>
      </c>
      <c r="B402" s="4">
        <v>1014.396254</v>
      </c>
    </row>
    <row r="403" spans="1:2" x14ac:dyDescent="0.3">
      <c r="A403" s="3">
        <v>45016</v>
      </c>
      <c r="B403" s="4">
        <v>1058.1323609999999</v>
      </c>
    </row>
    <row r="404" spans="1:2" x14ac:dyDescent="0.3">
      <c r="A404" s="3">
        <v>45019</v>
      </c>
      <c r="B404" s="4">
        <v>1058.3139329999999</v>
      </c>
    </row>
    <row r="405" spans="1:2" x14ac:dyDescent="0.3">
      <c r="A405" s="3">
        <v>45021</v>
      </c>
      <c r="B405" s="4">
        <v>1055.7719279999999</v>
      </c>
    </row>
    <row r="406" spans="1:2" x14ac:dyDescent="0.3">
      <c r="A406" s="3">
        <v>45022</v>
      </c>
      <c r="B406" s="4">
        <v>1062.8532279999999</v>
      </c>
    </row>
    <row r="407" spans="1:2" x14ac:dyDescent="0.3">
      <c r="A407" s="3">
        <v>45026</v>
      </c>
      <c r="B407" s="4">
        <v>1055.317998</v>
      </c>
    </row>
    <row r="408" spans="1:2" x14ac:dyDescent="0.3">
      <c r="A408" s="3">
        <v>45027</v>
      </c>
      <c r="B408" s="4">
        <v>1060.5381870000001</v>
      </c>
    </row>
    <row r="409" spans="1:2" x14ac:dyDescent="0.3">
      <c r="A409" s="3">
        <v>45028</v>
      </c>
      <c r="B409" s="4">
        <v>1065.213661</v>
      </c>
    </row>
    <row r="410" spans="1:2" x14ac:dyDescent="0.3">
      <c r="A410" s="3">
        <v>45029</v>
      </c>
      <c r="B410" s="4">
        <v>1069.230937</v>
      </c>
    </row>
    <row r="411" spans="1:2" x14ac:dyDescent="0.3">
      <c r="A411" s="3">
        <v>45033</v>
      </c>
      <c r="B411" s="4">
        <v>1074.655395</v>
      </c>
    </row>
    <row r="412" spans="1:2" x14ac:dyDescent="0.3">
      <c r="A412" s="3">
        <v>45034</v>
      </c>
      <c r="B412" s="4">
        <v>1062.3539049999999</v>
      </c>
    </row>
    <row r="413" spans="1:2" x14ac:dyDescent="0.3">
      <c r="A413" s="3">
        <v>45035</v>
      </c>
      <c r="B413" s="4">
        <v>1067.642184</v>
      </c>
    </row>
    <row r="414" spans="1:2" x14ac:dyDescent="0.3">
      <c r="A414" s="3">
        <v>45036</v>
      </c>
      <c r="B414" s="4">
        <v>1064.9413030000001</v>
      </c>
    </row>
    <row r="415" spans="1:2" x14ac:dyDescent="0.3">
      <c r="A415" s="3">
        <v>45037</v>
      </c>
      <c r="B415" s="4">
        <v>1066.2803960000001</v>
      </c>
    </row>
    <row r="416" spans="1:2" x14ac:dyDescent="0.3">
      <c r="A416" s="3">
        <v>45040</v>
      </c>
      <c r="B416" s="4">
        <v>1070.365761</v>
      </c>
    </row>
    <row r="417" spans="1:2" x14ac:dyDescent="0.3">
      <c r="A417" s="3">
        <v>45041</v>
      </c>
      <c r="B417" s="4">
        <v>1078.5591879999999</v>
      </c>
    </row>
    <row r="418" spans="1:2" x14ac:dyDescent="0.3">
      <c r="A418" s="3">
        <v>45042</v>
      </c>
      <c r="B418" s="4">
        <v>1072.226872</v>
      </c>
    </row>
    <row r="419" spans="1:2" x14ac:dyDescent="0.3">
      <c r="A419" s="3">
        <v>45043</v>
      </c>
      <c r="B419" s="4">
        <v>1079.0131180000001</v>
      </c>
    </row>
    <row r="420" spans="1:2" x14ac:dyDescent="0.3">
      <c r="A420" s="3">
        <v>45044</v>
      </c>
      <c r="B420" s="4">
        <v>1098.736355</v>
      </c>
    </row>
    <row r="421" spans="1:2" x14ac:dyDescent="0.3">
      <c r="A421" s="3">
        <v>45048</v>
      </c>
      <c r="B421" s="4">
        <v>1108.0646059999999</v>
      </c>
    </row>
    <row r="422" spans="1:2" x14ac:dyDescent="0.3">
      <c r="A422" s="3">
        <v>45049</v>
      </c>
      <c r="B422" s="4">
        <v>1098.554783</v>
      </c>
    </row>
    <row r="423" spans="1:2" x14ac:dyDescent="0.3">
      <c r="A423" s="3">
        <v>45050</v>
      </c>
      <c r="B423" s="4">
        <v>1111.2194159999999</v>
      </c>
    </row>
    <row r="424" spans="1:2" x14ac:dyDescent="0.3">
      <c r="A424" s="3">
        <v>45051</v>
      </c>
      <c r="B424" s="4">
        <v>1108.382357</v>
      </c>
    </row>
    <row r="425" spans="1:2" x14ac:dyDescent="0.3">
      <c r="A425" s="3">
        <v>45054</v>
      </c>
      <c r="B425" s="4">
        <v>1122.0683309999999</v>
      </c>
    </row>
    <row r="426" spans="1:2" x14ac:dyDescent="0.3">
      <c r="A426" s="3">
        <v>45055</v>
      </c>
      <c r="B426" s="4">
        <v>1125.540892</v>
      </c>
    </row>
    <row r="427" spans="1:2" x14ac:dyDescent="0.3">
      <c r="A427" s="3">
        <v>45056</v>
      </c>
      <c r="B427" s="4">
        <v>1133.2803899999999</v>
      </c>
    </row>
    <row r="428" spans="1:2" x14ac:dyDescent="0.3">
      <c r="A428" s="3">
        <v>45057</v>
      </c>
      <c r="B428" s="4">
        <v>1125.881339</v>
      </c>
    </row>
    <row r="429" spans="1:2" x14ac:dyDescent="0.3">
      <c r="A429" s="3">
        <v>45058</v>
      </c>
      <c r="B429" s="4">
        <v>1127.7197530000001</v>
      </c>
    </row>
    <row r="430" spans="1:2" x14ac:dyDescent="0.3">
      <c r="A430" s="3">
        <v>45061</v>
      </c>
      <c r="B430" s="4">
        <v>1129.9440079999999</v>
      </c>
    </row>
    <row r="431" spans="1:2" x14ac:dyDescent="0.3">
      <c r="A431" s="3">
        <v>45062</v>
      </c>
      <c r="B431" s="4">
        <v>1113.8522069999999</v>
      </c>
    </row>
    <row r="432" spans="1:2" x14ac:dyDescent="0.3">
      <c r="A432" s="3">
        <v>45063</v>
      </c>
      <c r="B432" s="4">
        <v>1107.270229</v>
      </c>
    </row>
    <row r="433" spans="1:2" x14ac:dyDescent="0.3">
      <c r="A433" s="3">
        <v>45064</v>
      </c>
      <c r="B433" s="4">
        <v>1104.887099</v>
      </c>
    </row>
    <row r="434" spans="1:2" x14ac:dyDescent="0.3">
      <c r="A434" s="3">
        <v>45065</v>
      </c>
      <c r="B434" s="4">
        <v>1108.4731429999999</v>
      </c>
    </row>
    <row r="435" spans="1:2" x14ac:dyDescent="0.3">
      <c r="A435" s="3">
        <v>45068</v>
      </c>
      <c r="B435" s="4">
        <v>1114.396923</v>
      </c>
    </row>
    <row r="436" spans="1:2" x14ac:dyDescent="0.3">
      <c r="A436" s="3">
        <v>45069</v>
      </c>
      <c r="B436" s="4">
        <v>1114.1926539999999</v>
      </c>
    </row>
    <row r="437" spans="1:2" x14ac:dyDescent="0.3">
      <c r="A437" s="3">
        <v>45070</v>
      </c>
      <c r="B437" s="4">
        <v>1107.701462</v>
      </c>
    </row>
    <row r="438" spans="1:2" x14ac:dyDescent="0.3">
      <c r="A438" s="3">
        <v>45071</v>
      </c>
      <c r="B438" s="4">
        <v>1107.565284</v>
      </c>
    </row>
    <row r="439" spans="1:2" x14ac:dyDescent="0.3">
      <c r="A439" s="3">
        <v>45072</v>
      </c>
      <c r="B439" s="4">
        <v>1137.7742920000001</v>
      </c>
    </row>
    <row r="440" spans="1:2" x14ac:dyDescent="0.3">
      <c r="A440" s="3">
        <v>45075</v>
      </c>
      <c r="B440" s="4">
        <v>1144.174698</v>
      </c>
    </row>
    <row r="441" spans="1:2" x14ac:dyDescent="0.3">
      <c r="A441" s="3">
        <v>45076</v>
      </c>
      <c r="B441" s="4">
        <v>1143.8796440000001</v>
      </c>
    </row>
    <row r="442" spans="1:2" x14ac:dyDescent="0.3">
      <c r="A442" s="3">
        <v>45077</v>
      </c>
      <c r="B442" s="4">
        <v>1121.160472</v>
      </c>
    </row>
    <row r="443" spans="1:2" x14ac:dyDescent="0.3">
      <c r="A443" s="3">
        <v>45078</v>
      </c>
      <c r="B443" s="4">
        <v>1118.1418410000001</v>
      </c>
    </row>
    <row r="444" spans="1:2" x14ac:dyDescent="0.3">
      <c r="A444" s="3">
        <v>45079</v>
      </c>
      <c r="B444" s="4">
        <v>1114.4877080000001</v>
      </c>
    </row>
    <row r="445" spans="1:2" x14ac:dyDescent="0.3">
      <c r="A445" s="3">
        <v>45082</v>
      </c>
      <c r="B445" s="4">
        <v>1124.496854</v>
      </c>
    </row>
    <row r="446" spans="1:2" x14ac:dyDescent="0.3">
      <c r="A446" s="3">
        <v>45083</v>
      </c>
      <c r="B446" s="4">
        <v>1125.450106</v>
      </c>
    </row>
    <row r="447" spans="1:2" x14ac:dyDescent="0.3">
      <c r="A447" s="3">
        <v>45084</v>
      </c>
      <c r="B447" s="4">
        <v>1133.98398</v>
      </c>
    </row>
    <row r="448" spans="1:2" x14ac:dyDescent="0.3">
      <c r="A448" s="3">
        <v>45085</v>
      </c>
      <c r="B448" s="4">
        <v>1134.6648749999999</v>
      </c>
    </row>
    <row r="449" spans="1:2" x14ac:dyDescent="0.3">
      <c r="A449" s="3">
        <v>45086</v>
      </c>
      <c r="B449" s="4">
        <v>1126.6303230000001</v>
      </c>
    </row>
    <row r="450" spans="1:2" x14ac:dyDescent="0.3">
      <c r="A450" s="3">
        <v>45089</v>
      </c>
      <c r="B450" s="4">
        <v>1127.6289670000001</v>
      </c>
    </row>
    <row r="451" spans="1:2" x14ac:dyDescent="0.3">
      <c r="A451" s="3">
        <v>45090</v>
      </c>
      <c r="B451" s="4">
        <v>1144.28818</v>
      </c>
    </row>
    <row r="452" spans="1:2" x14ac:dyDescent="0.3">
      <c r="A452" s="3">
        <v>45091</v>
      </c>
      <c r="B452" s="4">
        <v>1158.359995</v>
      </c>
    </row>
    <row r="453" spans="1:2" x14ac:dyDescent="0.3">
      <c r="A453" s="3">
        <v>45092</v>
      </c>
      <c r="B453" s="4">
        <v>1158.677745</v>
      </c>
    </row>
    <row r="454" spans="1:2" x14ac:dyDescent="0.3">
      <c r="A454" s="3">
        <v>45093</v>
      </c>
      <c r="B454" s="4">
        <v>1169.957893</v>
      </c>
    </row>
    <row r="455" spans="1:2" x14ac:dyDescent="0.3">
      <c r="A455" s="3">
        <v>45096</v>
      </c>
      <c r="B455" s="4">
        <v>1158.3372979999999</v>
      </c>
    </row>
    <row r="456" spans="1:2" x14ac:dyDescent="0.3">
      <c r="A456" s="3">
        <v>45097</v>
      </c>
      <c r="B456" s="4">
        <v>1160.7431240000001</v>
      </c>
    </row>
    <row r="457" spans="1:2" x14ac:dyDescent="0.3">
      <c r="A457" s="3">
        <v>45098</v>
      </c>
      <c r="B457" s="4">
        <v>1164.0114169999999</v>
      </c>
    </row>
    <row r="458" spans="1:2" x14ac:dyDescent="0.3">
      <c r="A458" s="3">
        <v>45099</v>
      </c>
      <c r="B458" s="4">
        <v>1150.938247</v>
      </c>
    </row>
    <row r="459" spans="1:2" x14ac:dyDescent="0.3">
      <c r="A459" s="3">
        <v>45100</v>
      </c>
      <c r="B459" s="4">
        <v>1141.5192099999999</v>
      </c>
    </row>
    <row r="460" spans="1:2" x14ac:dyDescent="0.3">
      <c r="A460" s="3">
        <v>45103</v>
      </c>
      <c r="B460" s="4">
        <v>1132.803764</v>
      </c>
    </row>
    <row r="461" spans="1:2" x14ac:dyDescent="0.3">
      <c r="A461" s="3">
        <v>45104</v>
      </c>
      <c r="B461" s="4">
        <v>1133.2122999999999</v>
      </c>
    </row>
    <row r="462" spans="1:2" x14ac:dyDescent="0.3">
      <c r="A462" s="3">
        <v>45105</v>
      </c>
      <c r="B462" s="4">
        <v>1148.2146700000001</v>
      </c>
    </row>
    <row r="463" spans="1:2" x14ac:dyDescent="0.3">
      <c r="A463" s="3">
        <v>45107</v>
      </c>
      <c r="B463" s="4">
        <v>1157.633707</v>
      </c>
    </row>
    <row r="464" spans="1:2" x14ac:dyDescent="0.3">
      <c r="A464" s="3">
        <v>45110</v>
      </c>
      <c r="B464" s="4">
        <v>1187.3433930000001</v>
      </c>
    </row>
    <row r="465" spans="1:2" x14ac:dyDescent="0.3">
      <c r="A465" s="3">
        <v>45111</v>
      </c>
      <c r="B465" s="4">
        <v>1175.109993</v>
      </c>
    </row>
    <row r="466" spans="1:2" x14ac:dyDescent="0.3">
      <c r="A466" s="3">
        <v>45112</v>
      </c>
      <c r="B466" s="4">
        <v>1173.180793</v>
      </c>
    </row>
    <row r="467" spans="1:2" x14ac:dyDescent="0.3">
      <c r="A467" s="3">
        <v>45113</v>
      </c>
      <c r="B467" s="4">
        <v>1197.806468</v>
      </c>
    </row>
    <row r="468" spans="1:2" x14ac:dyDescent="0.3">
      <c r="A468" s="3">
        <v>45114</v>
      </c>
      <c r="B468" s="4">
        <v>1195.4687309999999</v>
      </c>
    </row>
    <row r="469" spans="1:2" x14ac:dyDescent="0.3">
      <c r="A469" s="3">
        <v>45117</v>
      </c>
      <c r="B469" s="4">
        <v>1241.5198789999999</v>
      </c>
    </row>
    <row r="470" spans="1:2" x14ac:dyDescent="0.3">
      <c r="A470" s="3">
        <v>45118</v>
      </c>
      <c r="B470" s="4">
        <v>1254.978889</v>
      </c>
    </row>
    <row r="471" spans="1:2" x14ac:dyDescent="0.3">
      <c r="A471" s="3">
        <v>45119</v>
      </c>
      <c r="B471" s="4">
        <v>1256.363374</v>
      </c>
    </row>
    <row r="472" spans="1:2" x14ac:dyDescent="0.3">
      <c r="A472" s="3">
        <v>45120</v>
      </c>
      <c r="B472" s="4">
        <v>1245.1286190000001</v>
      </c>
    </row>
    <row r="473" spans="1:2" x14ac:dyDescent="0.3">
      <c r="A473" s="3">
        <v>45121</v>
      </c>
      <c r="B473" s="4">
        <v>1244.0845810000001</v>
      </c>
    </row>
    <row r="474" spans="1:2" x14ac:dyDescent="0.3">
      <c r="A474" s="3">
        <v>45124</v>
      </c>
      <c r="B474" s="4">
        <v>1269.504633</v>
      </c>
    </row>
    <row r="475" spans="1:2" x14ac:dyDescent="0.3">
      <c r="A475" s="3">
        <v>45125</v>
      </c>
      <c r="B475" s="4">
        <v>1280.2854580000001</v>
      </c>
    </row>
    <row r="476" spans="1:2" x14ac:dyDescent="0.3">
      <c r="A476" s="3">
        <v>45126</v>
      </c>
      <c r="B476" s="4">
        <v>1289.99955</v>
      </c>
    </row>
    <row r="477" spans="1:2" x14ac:dyDescent="0.3">
      <c r="A477" s="3">
        <v>45127</v>
      </c>
      <c r="B477" s="4">
        <v>1309.925</v>
      </c>
    </row>
    <row r="478" spans="1:2" x14ac:dyDescent="0.3">
      <c r="A478" s="3">
        <v>45128</v>
      </c>
      <c r="B478" s="4">
        <v>1269.375</v>
      </c>
    </row>
    <row r="479" spans="1:2" x14ac:dyDescent="0.3">
      <c r="A479" s="3">
        <v>45131</v>
      </c>
      <c r="B479" s="4">
        <v>1243.7</v>
      </c>
    </row>
    <row r="480" spans="1:2" x14ac:dyDescent="0.3">
      <c r="A480" s="3">
        <v>45132</v>
      </c>
      <c r="B480" s="4">
        <v>1242.9000000000001</v>
      </c>
    </row>
    <row r="481" spans="1:2" x14ac:dyDescent="0.3">
      <c r="A481" s="3">
        <v>45133</v>
      </c>
      <c r="B481" s="4">
        <v>1263.0999999999999</v>
      </c>
    </row>
    <row r="482" spans="1:2" x14ac:dyDescent="0.3">
      <c r="A482" s="3">
        <v>45134</v>
      </c>
      <c r="B482" s="4">
        <v>1251.3499999999999</v>
      </c>
    </row>
    <row r="483" spans="1:2" x14ac:dyDescent="0.3">
      <c r="A483" s="3">
        <v>45135</v>
      </c>
      <c r="B483" s="4">
        <v>1263.925</v>
      </c>
    </row>
    <row r="484" spans="1:2" x14ac:dyDescent="0.3">
      <c r="A484" s="3">
        <v>45138</v>
      </c>
      <c r="B484" s="4">
        <v>1274.625</v>
      </c>
    </row>
    <row r="485" spans="1:2" x14ac:dyDescent="0.3">
      <c r="A485" s="3">
        <v>45139</v>
      </c>
      <c r="B485" s="4">
        <v>1256.5999999999999</v>
      </c>
    </row>
    <row r="486" spans="1:2" x14ac:dyDescent="0.3">
      <c r="A486" s="3">
        <v>45140</v>
      </c>
      <c r="B486" s="4">
        <v>1243.175</v>
      </c>
    </row>
    <row r="487" spans="1:2" x14ac:dyDescent="0.3">
      <c r="A487" s="3">
        <v>45141</v>
      </c>
      <c r="B487" s="4">
        <v>1237.95</v>
      </c>
    </row>
    <row r="488" spans="1:2" x14ac:dyDescent="0.3">
      <c r="A488" s="3">
        <v>45142</v>
      </c>
      <c r="B488" s="4">
        <v>1254.7750000000001</v>
      </c>
    </row>
    <row r="489" spans="1:2" x14ac:dyDescent="0.3">
      <c r="A489" s="3">
        <v>45145</v>
      </c>
      <c r="B489" s="4">
        <v>1261.925</v>
      </c>
    </row>
    <row r="490" spans="1:2" x14ac:dyDescent="0.3">
      <c r="A490" s="3">
        <v>45146</v>
      </c>
      <c r="B490" s="4">
        <v>1254.325</v>
      </c>
    </row>
    <row r="491" spans="1:2" x14ac:dyDescent="0.3">
      <c r="A491" s="3">
        <v>45147</v>
      </c>
      <c r="B491" s="4">
        <v>1262.5999999999999</v>
      </c>
    </row>
    <row r="492" spans="1:2" x14ac:dyDescent="0.3">
      <c r="A492" s="3">
        <v>45148</v>
      </c>
      <c r="B492" s="4">
        <v>1268.2249999999999</v>
      </c>
    </row>
    <row r="493" spans="1:2" x14ac:dyDescent="0.3">
      <c r="A493" s="3">
        <v>45149</v>
      </c>
      <c r="B493" s="4">
        <v>1273.575</v>
      </c>
    </row>
    <row r="494" spans="1:2" x14ac:dyDescent="0.3">
      <c r="A494" s="3">
        <v>45152</v>
      </c>
      <c r="B494" s="4">
        <v>1288.625</v>
      </c>
    </row>
    <row r="495" spans="1:2" x14ac:dyDescent="0.3">
      <c r="A495" s="3">
        <v>45154</v>
      </c>
      <c r="B495" s="4">
        <v>1287.575</v>
      </c>
    </row>
    <row r="496" spans="1:2" x14ac:dyDescent="0.3">
      <c r="A496" s="3">
        <v>45155</v>
      </c>
      <c r="B496" s="4">
        <v>1269</v>
      </c>
    </row>
    <row r="497" spans="1:2" x14ac:dyDescent="0.3">
      <c r="A497" s="3">
        <v>45156</v>
      </c>
      <c r="B497" s="4">
        <v>1278.4000000000001</v>
      </c>
    </row>
    <row r="498" spans="1:2" x14ac:dyDescent="0.3">
      <c r="A498" s="3">
        <v>45159</v>
      </c>
      <c r="B498" s="4">
        <v>1260</v>
      </c>
    </row>
    <row r="499" spans="1:2" x14ac:dyDescent="0.3">
      <c r="A499" s="3">
        <v>45160</v>
      </c>
      <c r="B499" s="4">
        <v>1259.7</v>
      </c>
    </row>
    <row r="500" spans="1:2" x14ac:dyDescent="0.3">
      <c r="A500" s="3">
        <v>45161</v>
      </c>
      <c r="B500" s="4">
        <v>1261.0999999999999</v>
      </c>
    </row>
    <row r="501" spans="1:2" x14ac:dyDescent="0.3">
      <c r="A501" s="3">
        <v>45162</v>
      </c>
      <c r="B501" s="4">
        <v>1239.9000000000001</v>
      </c>
    </row>
    <row r="502" spans="1:2" x14ac:dyDescent="0.3">
      <c r="A502" s="3">
        <v>45163</v>
      </c>
      <c r="B502" s="4">
        <v>1234.175</v>
      </c>
    </row>
    <row r="503" spans="1:2" x14ac:dyDescent="0.3">
      <c r="A503" s="3">
        <v>45166</v>
      </c>
      <c r="B503" s="4">
        <v>1221.875</v>
      </c>
    </row>
    <row r="504" spans="1:2" x14ac:dyDescent="0.3">
      <c r="A504" s="3">
        <v>45167</v>
      </c>
      <c r="B504" s="4">
        <v>1210.175</v>
      </c>
    </row>
    <row r="505" spans="1:2" x14ac:dyDescent="0.3">
      <c r="A505" s="3">
        <v>45168</v>
      </c>
      <c r="B505" s="4">
        <v>1209.0250000000001</v>
      </c>
    </row>
    <row r="506" spans="1:2" x14ac:dyDescent="0.3">
      <c r="A506" s="3">
        <v>45169</v>
      </c>
      <c r="B506" s="4">
        <v>1203.5</v>
      </c>
    </row>
    <row r="507" spans="1:2" x14ac:dyDescent="0.3">
      <c r="A507" s="3">
        <v>45170</v>
      </c>
      <c r="B507" s="4">
        <v>1206.325</v>
      </c>
    </row>
    <row r="508" spans="1:2" x14ac:dyDescent="0.3">
      <c r="A508" s="3">
        <v>45173</v>
      </c>
      <c r="B508" s="4">
        <v>1205.3499999999999</v>
      </c>
    </row>
    <row r="509" spans="1:2" x14ac:dyDescent="0.3">
      <c r="A509" s="3">
        <v>45174</v>
      </c>
      <c r="B509" s="4">
        <v>1211.8</v>
      </c>
    </row>
    <row r="510" spans="1:2" x14ac:dyDescent="0.3">
      <c r="A510" s="3">
        <v>45175</v>
      </c>
      <c r="B510" s="4">
        <v>1214.3499999999999</v>
      </c>
    </row>
    <row r="511" spans="1:2" x14ac:dyDescent="0.3">
      <c r="A511" s="3">
        <v>45176</v>
      </c>
      <c r="B511" s="4">
        <v>1216</v>
      </c>
    </row>
    <row r="512" spans="1:2" x14ac:dyDescent="0.3">
      <c r="A512" s="3">
        <v>45177</v>
      </c>
      <c r="B512" s="4">
        <v>1224.0999999999999</v>
      </c>
    </row>
    <row r="513" spans="1:2" x14ac:dyDescent="0.3">
      <c r="A513" s="3">
        <v>45180</v>
      </c>
      <c r="B513" s="4">
        <v>1237.3</v>
      </c>
    </row>
    <row r="514" spans="1:2" x14ac:dyDescent="0.3">
      <c r="A514" s="3">
        <v>45181</v>
      </c>
      <c r="B514" s="4">
        <v>1219.425</v>
      </c>
    </row>
    <row r="515" spans="1:2" x14ac:dyDescent="0.3">
      <c r="A515" s="3">
        <v>45182</v>
      </c>
      <c r="B515" s="4">
        <v>1225.5250000000001</v>
      </c>
    </row>
    <row r="516" spans="1:2" x14ac:dyDescent="0.3">
      <c r="A516" s="3">
        <v>45183</v>
      </c>
      <c r="B516" s="4">
        <v>1226.6500000000001</v>
      </c>
    </row>
    <row r="517" spans="1:2" x14ac:dyDescent="0.3">
      <c r="A517" s="3">
        <v>45184</v>
      </c>
      <c r="B517" s="4">
        <v>1228.925</v>
      </c>
    </row>
    <row r="518" spans="1:2" x14ac:dyDescent="0.3">
      <c r="A518" s="3">
        <v>45187</v>
      </c>
      <c r="B518" s="4">
        <v>1218.2249999999999</v>
      </c>
    </row>
    <row r="519" spans="1:2" x14ac:dyDescent="0.3">
      <c r="A519" s="3">
        <v>45189</v>
      </c>
      <c r="B519" s="4">
        <v>1191.075</v>
      </c>
    </row>
    <row r="520" spans="1:2" x14ac:dyDescent="0.3">
      <c r="A520" s="3">
        <v>45190</v>
      </c>
      <c r="B520" s="4">
        <v>1182.4000000000001</v>
      </c>
    </row>
    <row r="521" spans="1:2" x14ac:dyDescent="0.3">
      <c r="A521" s="3">
        <v>45191</v>
      </c>
      <c r="B521" s="4">
        <v>1177.4749999999999</v>
      </c>
    </row>
    <row r="522" spans="1:2" x14ac:dyDescent="0.3">
      <c r="A522" s="3">
        <v>45194</v>
      </c>
      <c r="B522" s="4">
        <v>1170.2249999999999</v>
      </c>
    </row>
    <row r="523" spans="1:2" x14ac:dyDescent="0.3">
      <c r="A523" s="3">
        <v>45195</v>
      </c>
      <c r="B523" s="4">
        <v>1171.25</v>
      </c>
    </row>
    <row r="524" spans="1:2" x14ac:dyDescent="0.3">
      <c r="A524" s="3">
        <v>45196</v>
      </c>
      <c r="B524" s="4">
        <v>1184.45</v>
      </c>
    </row>
    <row r="525" spans="1:2" x14ac:dyDescent="0.3">
      <c r="A525" s="3">
        <v>45197</v>
      </c>
      <c r="B525" s="4">
        <v>1167.05</v>
      </c>
    </row>
    <row r="526" spans="1:2" x14ac:dyDescent="0.3">
      <c r="A526" s="3">
        <v>45198</v>
      </c>
      <c r="B526" s="4">
        <v>1172.5</v>
      </c>
    </row>
    <row r="527" spans="1:2" x14ac:dyDescent="0.3">
      <c r="A527" s="3">
        <v>45202</v>
      </c>
      <c r="B527" s="4">
        <v>1159.075</v>
      </c>
    </row>
    <row r="528" spans="1:2" x14ac:dyDescent="0.3">
      <c r="A528" s="3">
        <v>45203</v>
      </c>
      <c r="B528" s="4">
        <v>1157.075</v>
      </c>
    </row>
    <row r="529" spans="1:2" x14ac:dyDescent="0.3">
      <c r="A529" s="3">
        <v>45204</v>
      </c>
      <c r="B529" s="4">
        <v>1157.05</v>
      </c>
    </row>
    <row r="530" spans="1:2" x14ac:dyDescent="0.3">
      <c r="A530" s="3">
        <v>45205</v>
      </c>
      <c r="B530" s="4">
        <v>1159</v>
      </c>
    </row>
    <row r="531" spans="1:2" x14ac:dyDescent="0.3">
      <c r="A531" s="3">
        <v>45208</v>
      </c>
      <c r="B531" s="4">
        <v>1149.125</v>
      </c>
    </row>
    <row r="532" spans="1:2" x14ac:dyDescent="0.3">
      <c r="A532" s="3">
        <v>45209</v>
      </c>
      <c r="B532" s="4">
        <v>1154.2</v>
      </c>
    </row>
    <row r="533" spans="1:2" x14ac:dyDescent="0.3">
      <c r="A533" s="3">
        <v>45210</v>
      </c>
      <c r="B533" s="4">
        <v>1172.5250000000001</v>
      </c>
    </row>
    <row r="534" spans="1:2" x14ac:dyDescent="0.3">
      <c r="A534" s="3">
        <v>45211</v>
      </c>
      <c r="B534" s="4">
        <v>1174.7</v>
      </c>
    </row>
    <row r="535" spans="1:2" x14ac:dyDescent="0.3">
      <c r="A535" s="3">
        <v>45212</v>
      </c>
      <c r="B535" s="4">
        <v>1174.6500000000001</v>
      </c>
    </row>
    <row r="536" spans="1:2" x14ac:dyDescent="0.3">
      <c r="A536" s="3">
        <v>45215</v>
      </c>
      <c r="B536" s="4">
        <v>1172.0250000000001</v>
      </c>
    </row>
    <row r="537" spans="1:2" x14ac:dyDescent="0.3">
      <c r="A537" s="3">
        <v>45216</v>
      </c>
      <c r="B537" s="4">
        <v>1177.625</v>
      </c>
    </row>
    <row r="538" spans="1:2" x14ac:dyDescent="0.3">
      <c r="A538" s="3">
        <v>45217</v>
      </c>
      <c r="B538" s="4">
        <v>1162</v>
      </c>
    </row>
    <row r="539" spans="1:2" x14ac:dyDescent="0.3">
      <c r="A539" s="3">
        <v>45218</v>
      </c>
      <c r="B539" s="4">
        <v>1153.075</v>
      </c>
    </row>
    <row r="540" spans="1:2" x14ac:dyDescent="0.3">
      <c r="A540" s="3">
        <v>45219</v>
      </c>
      <c r="B540" s="4">
        <v>1149.55</v>
      </c>
    </row>
    <row r="541" spans="1:2" x14ac:dyDescent="0.3">
      <c r="A541" s="3">
        <v>45222</v>
      </c>
      <c r="B541" s="4">
        <v>1131.5999999999999</v>
      </c>
    </row>
    <row r="542" spans="1:2" x14ac:dyDescent="0.3">
      <c r="A542" s="3">
        <v>45224</v>
      </c>
      <c r="B542" s="4">
        <v>1128.9749999999999</v>
      </c>
    </row>
    <row r="543" spans="1:2" x14ac:dyDescent="0.3">
      <c r="A543" s="3">
        <v>45225</v>
      </c>
      <c r="B543" s="4">
        <v>1113.25</v>
      </c>
    </row>
    <row r="544" spans="1:2" x14ac:dyDescent="0.3">
      <c r="A544" s="3">
        <v>45226</v>
      </c>
      <c r="B544" s="4">
        <v>1132.9000000000001</v>
      </c>
    </row>
    <row r="545" spans="1:2" x14ac:dyDescent="0.3">
      <c r="A545" s="3">
        <v>45229</v>
      </c>
      <c r="B545" s="4">
        <v>1156.25</v>
      </c>
    </row>
    <row r="546" spans="1:2" x14ac:dyDescent="0.3">
      <c r="A546" s="3">
        <v>45230</v>
      </c>
      <c r="B546" s="4">
        <v>1143.95</v>
      </c>
    </row>
    <row r="547" spans="1:2" x14ac:dyDescent="0.3">
      <c r="A547" s="3">
        <v>45231</v>
      </c>
      <c r="B547" s="4">
        <v>1148.7</v>
      </c>
    </row>
    <row r="548" spans="1:2" x14ac:dyDescent="0.3">
      <c r="A548" s="3">
        <v>45232</v>
      </c>
      <c r="B548" s="4">
        <v>1160.0999999999999</v>
      </c>
    </row>
    <row r="549" spans="1:2" x14ac:dyDescent="0.3">
      <c r="A549" s="3">
        <v>45233</v>
      </c>
      <c r="B549" s="4">
        <v>1159.8499999999999</v>
      </c>
    </row>
    <row r="550" spans="1:2" x14ac:dyDescent="0.3">
      <c r="A550" s="3">
        <v>45236</v>
      </c>
      <c r="B550" s="4">
        <v>1169.5</v>
      </c>
    </row>
    <row r="551" spans="1:2" x14ac:dyDescent="0.3">
      <c r="A551" s="3">
        <v>45237</v>
      </c>
      <c r="B551" s="4">
        <v>1161.9000000000001</v>
      </c>
    </row>
    <row r="552" spans="1:2" x14ac:dyDescent="0.3">
      <c r="A552" s="3">
        <v>45238</v>
      </c>
      <c r="B552" s="4">
        <v>1167.95</v>
      </c>
    </row>
    <row r="553" spans="1:2" x14ac:dyDescent="0.3">
      <c r="A553" s="3">
        <v>45239</v>
      </c>
      <c r="B553" s="4">
        <v>1155.2750000000001</v>
      </c>
    </row>
    <row r="554" spans="1:2" x14ac:dyDescent="0.3">
      <c r="A554" s="3">
        <v>45240</v>
      </c>
      <c r="B554" s="4">
        <v>1157.45</v>
      </c>
    </row>
    <row r="555" spans="1:2" x14ac:dyDescent="0.3">
      <c r="A555" s="3">
        <v>45242</v>
      </c>
      <c r="B555" s="4">
        <v>1165.325</v>
      </c>
    </row>
    <row r="556" spans="1:2" x14ac:dyDescent="0.3">
      <c r="A556" s="3">
        <v>45243</v>
      </c>
      <c r="B556" s="4">
        <v>1157.3</v>
      </c>
    </row>
    <row r="557" spans="1:2" x14ac:dyDescent="0.3">
      <c r="A557" s="3">
        <v>45245</v>
      </c>
      <c r="B557" s="4">
        <v>1178.2249999999999</v>
      </c>
    </row>
    <row r="558" spans="1:2" x14ac:dyDescent="0.3">
      <c r="A558" s="3">
        <v>45246</v>
      </c>
      <c r="B558" s="4">
        <v>1180.3499999999999</v>
      </c>
    </row>
    <row r="559" spans="1:2" x14ac:dyDescent="0.3">
      <c r="A559" s="3">
        <v>45247</v>
      </c>
      <c r="B559" s="4">
        <v>1177.7750000000001</v>
      </c>
    </row>
    <row r="560" spans="1:2" x14ac:dyDescent="0.3">
      <c r="A560" s="3">
        <v>45250</v>
      </c>
      <c r="B560" s="4">
        <v>1174.675</v>
      </c>
    </row>
    <row r="561" spans="1:2" x14ac:dyDescent="0.3">
      <c r="A561" s="3">
        <v>45251</v>
      </c>
      <c r="B561" s="4">
        <v>1189.45</v>
      </c>
    </row>
    <row r="562" spans="1:2" x14ac:dyDescent="0.3">
      <c r="A562" s="3">
        <v>45252</v>
      </c>
      <c r="B562" s="4">
        <v>1194.0999999999999</v>
      </c>
    </row>
    <row r="563" spans="1:2" x14ac:dyDescent="0.3">
      <c r="A563" s="3">
        <v>45253</v>
      </c>
      <c r="B563" s="4">
        <v>1197.75</v>
      </c>
    </row>
    <row r="564" spans="1:2" x14ac:dyDescent="0.3">
      <c r="A564" s="3">
        <v>45254</v>
      </c>
      <c r="B564" s="4">
        <v>1196.95</v>
      </c>
    </row>
    <row r="565" spans="1:2" x14ac:dyDescent="0.3">
      <c r="A565" s="3">
        <v>45258</v>
      </c>
      <c r="B565" s="4">
        <v>1197.2</v>
      </c>
    </row>
    <row r="566" spans="1:2" x14ac:dyDescent="0.3">
      <c r="A566" s="3">
        <v>45259</v>
      </c>
      <c r="B566" s="4">
        <v>1200.3499999999999</v>
      </c>
    </row>
    <row r="567" spans="1:2" x14ac:dyDescent="0.3">
      <c r="A567" s="3">
        <v>45260</v>
      </c>
      <c r="B567" s="4">
        <v>1188.7249999999999</v>
      </c>
    </row>
    <row r="568" spans="1:2" x14ac:dyDescent="0.3">
      <c r="A568" s="3">
        <v>45261</v>
      </c>
      <c r="B568" s="4">
        <v>1197.1500000000001</v>
      </c>
    </row>
    <row r="569" spans="1:2" x14ac:dyDescent="0.3">
      <c r="A569" s="3">
        <v>45264</v>
      </c>
      <c r="B569" s="4">
        <v>1210.0999999999999</v>
      </c>
    </row>
    <row r="570" spans="1:2" x14ac:dyDescent="0.3">
      <c r="A570" s="3">
        <v>45265</v>
      </c>
      <c r="B570" s="4">
        <v>1218.875</v>
      </c>
    </row>
    <row r="571" spans="1:2" x14ac:dyDescent="0.3">
      <c r="A571" s="3">
        <v>45266</v>
      </c>
      <c r="B571" s="4">
        <v>1230.55</v>
      </c>
    </row>
    <row r="572" spans="1:2" x14ac:dyDescent="0.3">
      <c r="A572" s="3">
        <v>45267</v>
      </c>
      <c r="B572" s="4">
        <v>1228.5250000000001</v>
      </c>
    </row>
    <row r="573" spans="1:2" x14ac:dyDescent="0.3">
      <c r="A573" s="3">
        <v>45268</v>
      </c>
      <c r="B573" s="4">
        <v>1227.875</v>
      </c>
    </row>
    <row r="574" spans="1:2" x14ac:dyDescent="0.3">
      <c r="A574" s="3">
        <v>45271</v>
      </c>
      <c r="B574" s="4">
        <v>1229.675</v>
      </c>
    </row>
    <row r="575" spans="1:2" x14ac:dyDescent="0.3">
      <c r="A575" s="3">
        <v>45272</v>
      </c>
      <c r="B575" s="4">
        <v>1212.0250000000001</v>
      </c>
    </row>
    <row r="576" spans="1:2" x14ac:dyDescent="0.3">
      <c r="A576" s="3">
        <v>45273</v>
      </c>
      <c r="B576" s="4">
        <v>1216.9749999999999</v>
      </c>
    </row>
    <row r="577" spans="1:2" x14ac:dyDescent="0.3">
      <c r="A577" s="3">
        <v>45274</v>
      </c>
      <c r="B577" s="4">
        <v>1232.075</v>
      </c>
    </row>
    <row r="578" spans="1:2" x14ac:dyDescent="0.3">
      <c r="A578" s="3">
        <v>45275</v>
      </c>
      <c r="B578" s="4">
        <v>1247.8</v>
      </c>
    </row>
    <row r="579" spans="1:2" x14ac:dyDescent="0.3">
      <c r="A579" s="3">
        <v>45278</v>
      </c>
      <c r="B579" s="4">
        <v>1260.5</v>
      </c>
    </row>
    <row r="580" spans="1:2" x14ac:dyDescent="0.3">
      <c r="A580" s="3">
        <v>45279</v>
      </c>
      <c r="B580" s="4">
        <v>1279.05</v>
      </c>
    </row>
    <row r="581" spans="1:2" x14ac:dyDescent="0.3">
      <c r="A581" s="3">
        <v>45280</v>
      </c>
      <c r="B581" s="4">
        <v>1263.575</v>
      </c>
    </row>
    <row r="582" spans="1:2" x14ac:dyDescent="0.3">
      <c r="A582" s="3">
        <v>45281</v>
      </c>
      <c r="B582" s="4">
        <v>1281.2750000000001</v>
      </c>
    </row>
    <row r="583" spans="1:2" x14ac:dyDescent="0.3">
      <c r="A583" s="3">
        <v>45282</v>
      </c>
      <c r="B583" s="4">
        <v>1282.5250000000001</v>
      </c>
    </row>
    <row r="584" spans="1:2" x14ac:dyDescent="0.3">
      <c r="A584" s="3">
        <v>45286</v>
      </c>
      <c r="B584" s="4">
        <v>1289.0250000000001</v>
      </c>
    </row>
    <row r="585" spans="1:2" x14ac:dyDescent="0.3">
      <c r="A585" s="3">
        <v>45287</v>
      </c>
      <c r="B585" s="4">
        <v>1293.425</v>
      </c>
    </row>
    <row r="586" spans="1:2" x14ac:dyDescent="0.3">
      <c r="A586" s="3">
        <v>45288</v>
      </c>
      <c r="B586" s="4">
        <v>1302.7750000000001</v>
      </c>
    </row>
    <row r="587" spans="1:2" x14ac:dyDescent="0.3">
      <c r="A587" s="3">
        <v>45289</v>
      </c>
      <c r="B587" s="4">
        <v>1292.4749999999999</v>
      </c>
    </row>
    <row r="588" spans="1:2" x14ac:dyDescent="0.3">
      <c r="A588" s="3">
        <v>45292</v>
      </c>
      <c r="B588" s="4">
        <v>1295.125</v>
      </c>
    </row>
    <row r="589" spans="1:2" x14ac:dyDescent="0.3">
      <c r="A589" s="3">
        <v>45293</v>
      </c>
      <c r="B589" s="4">
        <v>1305.8499999999999</v>
      </c>
    </row>
    <row r="590" spans="1:2" x14ac:dyDescent="0.3">
      <c r="A590" s="3">
        <v>45294</v>
      </c>
      <c r="B590" s="4">
        <v>1291.6500000000001</v>
      </c>
    </row>
    <row r="591" spans="1:2" x14ac:dyDescent="0.3">
      <c r="A591" s="3">
        <v>45295</v>
      </c>
      <c r="B591" s="4">
        <v>1298.325</v>
      </c>
    </row>
    <row r="592" spans="1:2" x14ac:dyDescent="0.3">
      <c r="A592" s="3">
        <v>45296</v>
      </c>
      <c r="B592" s="4">
        <v>1303.8499999999999</v>
      </c>
    </row>
    <row r="593" spans="1:2" x14ac:dyDescent="0.3">
      <c r="A593" s="3">
        <v>45299</v>
      </c>
      <c r="B593" s="4">
        <v>1293.675</v>
      </c>
    </row>
    <row r="594" spans="1:2" x14ac:dyDescent="0.3">
      <c r="A594" s="3">
        <v>45300</v>
      </c>
      <c r="B594" s="4">
        <v>1290.25</v>
      </c>
    </row>
    <row r="595" spans="1:2" x14ac:dyDescent="0.3">
      <c r="A595" s="3">
        <v>45301</v>
      </c>
      <c r="B595" s="4">
        <v>1325.05</v>
      </c>
    </row>
    <row r="596" spans="1:2" x14ac:dyDescent="0.3">
      <c r="A596" s="3">
        <v>45302</v>
      </c>
      <c r="B596" s="4">
        <v>1359.9</v>
      </c>
    </row>
    <row r="597" spans="1:2" x14ac:dyDescent="0.3">
      <c r="A597" s="3">
        <v>45303</v>
      </c>
      <c r="B597" s="4">
        <v>1370.7249999999999</v>
      </c>
    </row>
    <row r="598" spans="1:2" x14ac:dyDescent="0.3">
      <c r="A598" s="3">
        <v>45306</v>
      </c>
      <c r="B598" s="4">
        <v>1394.125</v>
      </c>
    </row>
    <row r="599" spans="1:2" x14ac:dyDescent="0.3">
      <c r="A599" s="3">
        <v>45307</v>
      </c>
      <c r="B599" s="4">
        <v>1374.625</v>
      </c>
    </row>
    <row r="600" spans="1:2" x14ac:dyDescent="0.3">
      <c r="A600" s="3">
        <v>45308</v>
      </c>
      <c r="B600" s="4">
        <v>1361.575</v>
      </c>
    </row>
    <row r="601" spans="1:2" x14ac:dyDescent="0.3">
      <c r="A601" s="3">
        <v>45309</v>
      </c>
      <c r="B601" s="4">
        <v>1367.95</v>
      </c>
    </row>
    <row r="602" spans="1:2" x14ac:dyDescent="0.3">
      <c r="A602" s="3">
        <v>45310</v>
      </c>
      <c r="B602" s="4">
        <v>1367.45</v>
      </c>
    </row>
    <row r="603" spans="1:2" x14ac:dyDescent="0.3">
      <c r="A603" s="3">
        <v>45311</v>
      </c>
      <c r="B603" s="4">
        <v>1356.65</v>
      </c>
    </row>
    <row r="604" spans="1:2" x14ac:dyDescent="0.3">
      <c r="A604" s="3">
        <v>45314</v>
      </c>
      <c r="B604" s="4">
        <v>1328.575</v>
      </c>
    </row>
    <row r="605" spans="1:2" x14ac:dyDescent="0.3">
      <c r="A605" s="3">
        <v>45315</v>
      </c>
      <c r="B605" s="4">
        <v>1343.875</v>
      </c>
    </row>
    <row r="606" spans="1:2" x14ac:dyDescent="0.3">
      <c r="A606" s="3">
        <v>45316</v>
      </c>
      <c r="B606" s="4">
        <v>1353.075</v>
      </c>
    </row>
    <row r="607" spans="1:2" x14ac:dyDescent="0.3">
      <c r="A607" s="3">
        <v>45320</v>
      </c>
      <c r="B607" s="4">
        <v>1448.05</v>
      </c>
    </row>
    <row r="608" spans="1:2" x14ac:dyDescent="0.3">
      <c r="A608" s="3">
        <v>45321</v>
      </c>
      <c r="B608" s="4">
        <v>1407.625</v>
      </c>
    </row>
    <row r="609" spans="1:2" x14ac:dyDescent="0.3">
      <c r="A609" s="3">
        <v>45322</v>
      </c>
      <c r="B609" s="4">
        <v>1426.625</v>
      </c>
    </row>
    <row r="610" spans="1:2" x14ac:dyDescent="0.3">
      <c r="A610" s="3">
        <v>45323</v>
      </c>
      <c r="B610" s="4">
        <v>1426.65</v>
      </c>
    </row>
    <row r="611" spans="1:2" x14ac:dyDescent="0.3">
      <c r="A611" s="3">
        <v>45324</v>
      </c>
      <c r="B611" s="4">
        <v>1457.7</v>
      </c>
    </row>
    <row r="612" spans="1:2" x14ac:dyDescent="0.3">
      <c r="A612" s="3">
        <v>45327</v>
      </c>
      <c r="B612" s="4">
        <v>1439.0250000000001</v>
      </c>
    </row>
    <row r="613" spans="1:2" x14ac:dyDescent="0.3">
      <c r="A613" s="3">
        <v>45328</v>
      </c>
      <c r="B613" s="4">
        <v>1427.8</v>
      </c>
    </row>
    <row r="614" spans="1:2" x14ac:dyDescent="0.3">
      <c r="A614" s="3">
        <v>45329</v>
      </c>
      <c r="B614" s="4">
        <v>1442.15</v>
      </c>
    </row>
    <row r="615" spans="1:2" x14ac:dyDescent="0.3">
      <c r="A615" s="3">
        <v>45330</v>
      </c>
      <c r="B615" s="4">
        <v>1450.125</v>
      </c>
    </row>
    <row r="616" spans="1:2" x14ac:dyDescent="0.3">
      <c r="A616" s="3">
        <v>45331</v>
      </c>
      <c r="B616" s="4">
        <v>1460.75</v>
      </c>
    </row>
    <row r="617" spans="1:2" x14ac:dyDescent="0.3">
      <c r="A617" s="3">
        <v>45334</v>
      </c>
      <c r="B617" s="4">
        <v>1452.35</v>
      </c>
    </row>
    <row r="618" spans="1:2" x14ac:dyDescent="0.3">
      <c r="A618" s="3">
        <v>45335</v>
      </c>
      <c r="B618" s="4">
        <v>1465.1</v>
      </c>
    </row>
    <row r="619" spans="1:2" x14ac:dyDescent="0.3">
      <c r="A619" s="3">
        <v>45336</v>
      </c>
      <c r="B619" s="4">
        <v>1481.375</v>
      </c>
    </row>
    <row r="620" spans="1:2" x14ac:dyDescent="0.3">
      <c r="A620" s="3">
        <v>45337</v>
      </c>
      <c r="B620" s="4">
        <v>1470.6</v>
      </c>
    </row>
    <row r="621" spans="1:2" x14ac:dyDescent="0.3">
      <c r="A621" s="3">
        <v>45338</v>
      </c>
      <c r="B621" s="4">
        <v>1460.575</v>
      </c>
    </row>
    <row r="622" spans="1:2" x14ac:dyDescent="0.3">
      <c r="A622" s="3">
        <v>45341</v>
      </c>
      <c r="B622" s="4">
        <v>1474</v>
      </c>
    </row>
    <row r="623" spans="1:2" x14ac:dyDescent="0.3">
      <c r="A623" s="3">
        <v>45342</v>
      </c>
      <c r="B623" s="4">
        <v>1471.0250000000001</v>
      </c>
    </row>
    <row r="624" spans="1:2" x14ac:dyDescent="0.3">
      <c r="A624" s="3">
        <v>45343</v>
      </c>
      <c r="B624" s="4">
        <v>1467.7</v>
      </c>
    </row>
    <row r="625" spans="1:2" x14ac:dyDescent="0.3">
      <c r="A625" s="3">
        <v>45344</v>
      </c>
      <c r="B625" s="4">
        <v>1481.75</v>
      </c>
    </row>
    <row r="626" spans="1:2" x14ac:dyDescent="0.3">
      <c r="A626" s="3">
        <v>45345</v>
      </c>
      <c r="B626" s="4">
        <v>1493.625</v>
      </c>
    </row>
    <row r="627" spans="1:2" x14ac:dyDescent="0.3">
      <c r="A627" s="3">
        <v>45348</v>
      </c>
      <c r="B627" s="4">
        <v>1487.325</v>
      </c>
    </row>
    <row r="628" spans="1:2" x14ac:dyDescent="0.3">
      <c r="A628" s="3">
        <v>45349</v>
      </c>
      <c r="B628" s="4">
        <v>1485.65</v>
      </c>
    </row>
    <row r="629" spans="1:2" x14ac:dyDescent="0.3">
      <c r="A629" s="3">
        <v>45350</v>
      </c>
      <c r="B629" s="4">
        <v>1455.625</v>
      </c>
    </row>
    <row r="630" spans="1:2" x14ac:dyDescent="0.3">
      <c r="A630" s="3">
        <v>45351</v>
      </c>
      <c r="B630" s="4">
        <v>1460.8</v>
      </c>
    </row>
    <row r="631" spans="1:2" x14ac:dyDescent="0.3">
      <c r="A631" s="3">
        <v>45352</v>
      </c>
      <c r="B631" s="4">
        <v>1492.125</v>
      </c>
    </row>
    <row r="632" spans="1:2" x14ac:dyDescent="0.3">
      <c r="A632" s="3">
        <v>45353</v>
      </c>
      <c r="B632" s="4">
        <v>1491.075</v>
      </c>
    </row>
    <row r="633" spans="1:2" x14ac:dyDescent="0.3">
      <c r="A633" s="3">
        <v>45355</v>
      </c>
      <c r="B633" s="4">
        <v>1507.4</v>
      </c>
    </row>
    <row r="634" spans="1:2" x14ac:dyDescent="0.3">
      <c r="A634" s="3">
        <v>45356</v>
      </c>
      <c r="B634" s="4">
        <v>1500.2</v>
      </c>
    </row>
    <row r="635" spans="1:2" x14ac:dyDescent="0.3">
      <c r="A635" s="3">
        <v>45357</v>
      </c>
      <c r="B635" s="4">
        <v>1503</v>
      </c>
    </row>
    <row r="636" spans="1:2" x14ac:dyDescent="0.3">
      <c r="A636" s="3">
        <v>45358</v>
      </c>
      <c r="B636" s="4">
        <v>1478.925</v>
      </c>
    </row>
    <row r="637" spans="1:2" x14ac:dyDescent="0.3">
      <c r="A637" s="3">
        <v>45362</v>
      </c>
      <c r="B637" s="4">
        <v>1466.6</v>
      </c>
    </row>
    <row r="638" spans="1:2" x14ac:dyDescent="0.3">
      <c r="A638" s="3">
        <v>45363</v>
      </c>
      <c r="B638" s="4">
        <v>1475.425</v>
      </c>
    </row>
    <row r="639" spans="1:2" x14ac:dyDescent="0.3">
      <c r="A639" s="3">
        <v>45364</v>
      </c>
      <c r="B639" s="4">
        <v>1432.175</v>
      </c>
    </row>
    <row r="640" spans="1:2" x14ac:dyDescent="0.3">
      <c r="A640" s="3">
        <v>45365</v>
      </c>
      <c r="B640" s="4">
        <v>1431.4749999999999</v>
      </c>
    </row>
    <row r="641" spans="1:2" x14ac:dyDescent="0.3">
      <c r="A641" s="3">
        <v>45366</v>
      </c>
      <c r="B641" s="4">
        <v>1418.2249999999999</v>
      </c>
    </row>
    <row r="642" spans="1:2" x14ac:dyDescent="0.3">
      <c r="A642" s="3">
        <v>45369</v>
      </c>
      <c r="B642" s="4">
        <v>1439.4749999999999</v>
      </c>
    </row>
    <row r="643" spans="1:2" x14ac:dyDescent="0.3">
      <c r="A643" s="3">
        <v>45370</v>
      </c>
      <c r="B643" s="4">
        <v>1425.25</v>
      </c>
    </row>
    <row r="644" spans="1:2" x14ac:dyDescent="0.3">
      <c r="A644" s="3">
        <v>45371</v>
      </c>
      <c r="B644" s="4">
        <v>1443.75</v>
      </c>
    </row>
    <row r="645" spans="1:2" x14ac:dyDescent="0.3">
      <c r="A645" s="3">
        <v>45372</v>
      </c>
      <c r="B645" s="4">
        <v>1450.9749999999999</v>
      </c>
    </row>
    <row r="646" spans="1:2" x14ac:dyDescent="0.3">
      <c r="A646" s="3">
        <v>45373</v>
      </c>
      <c r="B646" s="4">
        <v>1455.0250000000001</v>
      </c>
    </row>
    <row r="647" spans="1:2" x14ac:dyDescent="0.3">
      <c r="A647" s="3">
        <v>45377</v>
      </c>
      <c r="B647" s="4">
        <v>1441.575</v>
      </c>
    </row>
    <row r="648" spans="1:2" x14ac:dyDescent="0.3">
      <c r="A648" s="3">
        <v>45378</v>
      </c>
      <c r="B648" s="4">
        <v>1492.85</v>
      </c>
    </row>
    <row r="649" spans="1:2" x14ac:dyDescent="0.3">
      <c r="A649" s="3">
        <v>45379</v>
      </c>
      <c r="B649" s="4">
        <v>1485.85</v>
      </c>
    </row>
    <row r="650" spans="1:2" x14ac:dyDescent="0.3">
      <c r="A650" s="3">
        <v>45383</v>
      </c>
      <c r="B650" s="4">
        <v>1484.7750000000001</v>
      </c>
    </row>
    <row r="651" spans="1:2" x14ac:dyDescent="0.3">
      <c r="A651" s="3">
        <v>45384</v>
      </c>
      <c r="B651" s="4">
        <v>1486.95</v>
      </c>
    </row>
    <row r="652" spans="1:2" x14ac:dyDescent="0.3">
      <c r="A652" s="3">
        <v>45385</v>
      </c>
      <c r="B652" s="4">
        <v>1471.6</v>
      </c>
    </row>
    <row r="653" spans="1:2" x14ac:dyDescent="0.3">
      <c r="A653" s="3">
        <v>45386</v>
      </c>
      <c r="B653" s="4">
        <v>1462.925</v>
      </c>
    </row>
    <row r="654" spans="1:2" x14ac:dyDescent="0.3">
      <c r="A654" s="3">
        <v>45387</v>
      </c>
      <c r="B654" s="4">
        <v>1460.1</v>
      </c>
    </row>
    <row r="655" spans="1:2" x14ac:dyDescent="0.3">
      <c r="A655" s="3">
        <v>45390</v>
      </c>
      <c r="B655" s="4">
        <v>1485.9749999999999</v>
      </c>
    </row>
    <row r="656" spans="1:2" x14ac:dyDescent="0.3">
      <c r="A656" s="3">
        <v>45391</v>
      </c>
      <c r="B656" s="4">
        <v>1463.65</v>
      </c>
    </row>
    <row r="657" spans="1:2" x14ac:dyDescent="0.3">
      <c r="A657" s="3">
        <v>45392</v>
      </c>
      <c r="B657" s="4">
        <v>1479.575</v>
      </c>
    </row>
    <row r="658" spans="1:2" x14ac:dyDescent="0.3">
      <c r="A658" s="3">
        <v>45394</v>
      </c>
      <c r="B658" s="4">
        <v>1467.15</v>
      </c>
    </row>
    <row r="659" spans="1:2" x14ac:dyDescent="0.3">
      <c r="A659" s="3">
        <v>45397</v>
      </c>
      <c r="B659" s="4">
        <v>1464.825</v>
      </c>
    </row>
    <row r="660" spans="1:2" x14ac:dyDescent="0.3">
      <c r="A660" s="3">
        <v>45398</v>
      </c>
      <c r="B660" s="4">
        <v>1465.75</v>
      </c>
    </row>
    <row r="661" spans="1:2" x14ac:dyDescent="0.3">
      <c r="A661" s="3">
        <v>45400</v>
      </c>
      <c r="B661" s="4">
        <v>1464.325</v>
      </c>
    </row>
    <row r="662" spans="1:2" x14ac:dyDescent="0.3">
      <c r="A662" s="3">
        <v>45401</v>
      </c>
      <c r="B662" s="4">
        <v>1470.125</v>
      </c>
    </row>
    <row r="663" spans="1:2" x14ac:dyDescent="0.3">
      <c r="A663" s="3">
        <v>45404</v>
      </c>
      <c r="B663" s="4">
        <v>1479.85</v>
      </c>
    </row>
    <row r="664" spans="1:2" x14ac:dyDescent="0.3">
      <c r="A664" s="3">
        <v>45405</v>
      </c>
      <c r="B664" s="4">
        <v>1459.325</v>
      </c>
    </row>
    <row r="665" spans="1:2" x14ac:dyDescent="0.3">
      <c r="A665" s="3">
        <v>45406</v>
      </c>
      <c r="B665" s="4">
        <v>1450.175</v>
      </c>
    </row>
    <row r="666" spans="1:2" x14ac:dyDescent="0.3">
      <c r="A666" s="3">
        <v>45407</v>
      </c>
      <c r="B666" s="4">
        <v>1459.9749999999999</v>
      </c>
    </row>
    <row r="667" spans="1:2" x14ac:dyDescent="0.3">
      <c r="A667" s="3">
        <v>45408</v>
      </c>
      <c r="B667" s="4">
        <v>1452.55</v>
      </c>
    </row>
    <row r="668" spans="1:2" x14ac:dyDescent="0.3">
      <c r="A668" s="3">
        <v>45411</v>
      </c>
      <c r="B668" s="4">
        <v>1465.0250000000001</v>
      </c>
    </row>
    <row r="669" spans="1:2" x14ac:dyDescent="0.3">
      <c r="A669" s="3">
        <v>45412</v>
      </c>
      <c r="B669" s="4">
        <v>1467</v>
      </c>
    </row>
    <row r="670" spans="1:2" x14ac:dyDescent="0.3">
      <c r="A670" s="3">
        <v>45414</v>
      </c>
      <c r="B670" s="4">
        <v>1466.55</v>
      </c>
    </row>
    <row r="671" spans="1:2" x14ac:dyDescent="0.3">
      <c r="A671" s="3">
        <v>45415</v>
      </c>
      <c r="B671" s="4">
        <v>1434</v>
      </c>
    </row>
    <row r="672" spans="1:2" x14ac:dyDescent="0.3">
      <c r="A672" s="3">
        <v>45418</v>
      </c>
      <c r="B672" s="4">
        <v>1419.5250000000001</v>
      </c>
    </row>
    <row r="673" spans="1:2" x14ac:dyDescent="0.3">
      <c r="A673" s="3">
        <v>45419</v>
      </c>
      <c r="B673" s="4">
        <v>1401.4749999999999</v>
      </c>
    </row>
    <row r="674" spans="1:2" x14ac:dyDescent="0.3">
      <c r="A674" s="3">
        <v>45420</v>
      </c>
      <c r="B674" s="4">
        <v>1418.55</v>
      </c>
    </row>
    <row r="675" spans="1:2" x14ac:dyDescent="0.3">
      <c r="A675" s="3">
        <v>45421</v>
      </c>
      <c r="B675" s="4">
        <v>1394.125</v>
      </c>
    </row>
    <row r="676" spans="1:2" x14ac:dyDescent="0.3">
      <c r="A676" s="3">
        <v>45422</v>
      </c>
      <c r="B676" s="4">
        <v>1407.425</v>
      </c>
    </row>
    <row r="677" spans="1:2" x14ac:dyDescent="0.3">
      <c r="A677" s="3">
        <v>45425</v>
      </c>
      <c r="B677" s="4">
        <v>1402.7</v>
      </c>
    </row>
    <row r="678" spans="1:2" x14ac:dyDescent="0.3">
      <c r="A678" s="3">
        <v>45426</v>
      </c>
      <c r="B678" s="4">
        <v>1420.075</v>
      </c>
    </row>
    <row r="679" spans="1:2" x14ac:dyDescent="0.3">
      <c r="A679" s="3">
        <v>45427</v>
      </c>
      <c r="B679" s="4">
        <v>1416.2750000000001</v>
      </c>
    </row>
    <row r="680" spans="1:2" x14ac:dyDescent="0.3">
      <c r="A680" s="3">
        <v>45428</v>
      </c>
      <c r="B680" s="4">
        <v>1425.35</v>
      </c>
    </row>
    <row r="681" spans="1:2" x14ac:dyDescent="0.3">
      <c r="A681" s="3">
        <v>45429</v>
      </c>
      <c r="B681" s="4">
        <v>1435.7</v>
      </c>
    </row>
    <row r="682" spans="1:2" x14ac:dyDescent="0.3">
      <c r="A682" s="3">
        <v>45430</v>
      </c>
      <c r="B682" s="4">
        <v>1434.825</v>
      </c>
    </row>
    <row r="683" spans="1:2" x14ac:dyDescent="0.3">
      <c r="A683" s="3">
        <v>45433</v>
      </c>
      <c r="B683" s="4">
        <v>1436.125</v>
      </c>
    </row>
    <row r="684" spans="1:2" x14ac:dyDescent="0.3">
      <c r="A684" s="3">
        <v>45434</v>
      </c>
      <c r="B684" s="4">
        <v>1460.65</v>
      </c>
    </row>
    <row r="685" spans="1:2" x14ac:dyDescent="0.3">
      <c r="A685" s="3">
        <v>45435</v>
      </c>
      <c r="B685" s="4">
        <v>1486.05</v>
      </c>
    </row>
    <row r="686" spans="1:2" x14ac:dyDescent="0.3">
      <c r="A686" s="3">
        <v>45436</v>
      </c>
      <c r="B686" s="4">
        <v>1480.25</v>
      </c>
    </row>
    <row r="687" spans="1:2" x14ac:dyDescent="0.3">
      <c r="A687" s="3">
        <v>45439</v>
      </c>
      <c r="B687" s="4">
        <v>1466.25</v>
      </c>
    </row>
    <row r="688" spans="1:2" x14ac:dyDescent="0.3">
      <c r="A688" s="3">
        <v>45440</v>
      </c>
      <c r="B688" s="4">
        <v>1456.2</v>
      </c>
    </row>
    <row r="689" spans="1:2" x14ac:dyDescent="0.3">
      <c r="A689" s="3">
        <v>45441</v>
      </c>
      <c r="B689" s="4">
        <v>1440.7750000000001</v>
      </c>
    </row>
    <row r="690" spans="1:2" x14ac:dyDescent="0.3">
      <c r="A690" s="3">
        <v>45442</v>
      </c>
      <c r="B690" s="4">
        <v>1424.85</v>
      </c>
    </row>
    <row r="691" spans="1:2" x14ac:dyDescent="0.3">
      <c r="A691" s="3">
        <v>45443</v>
      </c>
      <c r="B691" s="4">
        <v>1430.4</v>
      </c>
    </row>
    <row r="692" spans="1:2" x14ac:dyDescent="0.3">
      <c r="A692" s="3">
        <v>45446</v>
      </c>
      <c r="B692" s="4">
        <v>1510.325</v>
      </c>
    </row>
    <row r="693" spans="1:2" x14ac:dyDescent="0.3">
      <c r="A693" s="3">
        <v>45447</v>
      </c>
      <c r="B693" s="4">
        <v>1397.2750000000001</v>
      </c>
    </row>
    <row r="694" spans="1:2" x14ac:dyDescent="0.3">
      <c r="A694" s="3">
        <v>45448</v>
      </c>
      <c r="B694" s="4">
        <v>1420.75</v>
      </c>
    </row>
    <row r="695" spans="1:2" x14ac:dyDescent="0.3">
      <c r="A695" s="3">
        <v>45449</v>
      </c>
      <c r="B695" s="4">
        <v>1431.6</v>
      </c>
    </row>
    <row r="696" spans="1:2" x14ac:dyDescent="0.3">
      <c r="A696" s="3">
        <v>45450</v>
      </c>
      <c r="B696" s="4">
        <v>1469.95</v>
      </c>
    </row>
    <row r="697" spans="1:2" x14ac:dyDescent="0.3">
      <c r="A697" s="3">
        <v>45453</v>
      </c>
      <c r="B697" s="4">
        <v>1471.4</v>
      </c>
    </row>
    <row r="698" spans="1:2" x14ac:dyDescent="0.3">
      <c r="A698" s="3">
        <v>45454</v>
      </c>
      <c r="B698" s="4">
        <v>1456.675</v>
      </c>
    </row>
    <row r="699" spans="1:2" x14ac:dyDescent="0.3">
      <c r="A699" s="3">
        <v>45455</v>
      </c>
      <c r="B699" s="4">
        <v>1463.325</v>
      </c>
    </row>
    <row r="700" spans="1:2" x14ac:dyDescent="0.3">
      <c r="A700" s="3">
        <v>45456</v>
      </c>
      <c r="B700" s="4">
        <v>1465.25</v>
      </c>
    </row>
    <row r="701" spans="1:2" x14ac:dyDescent="0.3">
      <c r="A701" s="3">
        <v>45457</v>
      </c>
      <c r="B701" s="4">
        <v>1477.55</v>
      </c>
    </row>
    <row r="702" spans="1:2" x14ac:dyDescent="0.3">
      <c r="A702" s="3">
        <v>45461</v>
      </c>
      <c r="B702" s="4">
        <v>1481.0250000000001</v>
      </c>
    </row>
    <row r="703" spans="1:2" x14ac:dyDescent="0.3">
      <c r="A703" s="3">
        <v>45462</v>
      </c>
      <c r="B703" s="4">
        <v>1458.65</v>
      </c>
    </row>
    <row r="704" spans="1:2" x14ac:dyDescent="0.3">
      <c r="A704" s="3">
        <v>45463</v>
      </c>
      <c r="B704" s="4">
        <v>1473.7</v>
      </c>
    </row>
    <row r="705" spans="1:2" x14ac:dyDescent="0.3">
      <c r="A705" s="3">
        <v>45464</v>
      </c>
      <c r="B705" s="4">
        <v>1454.2</v>
      </c>
    </row>
    <row r="706" spans="1:2" x14ac:dyDescent="0.3">
      <c r="A706" s="3">
        <v>45467</v>
      </c>
      <c r="B706" s="4">
        <v>1441.4749999999999</v>
      </c>
    </row>
    <row r="707" spans="1:2" x14ac:dyDescent="0.3">
      <c r="A707" s="3">
        <v>45468</v>
      </c>
      <c r="B707" s="4">
        <v>1454.15</v>
      </c>
    </row>
    <row r="708" spans="1:2" x14ac:dyDescent="0.3">
      <c r="A708" s="3">
        <v>45469</v>
      </c>
      <c r="B708" s="4">
        <v>1514.0250000000001</v>
      </c>
    </row>
    <row r="709" spans="1:2" x14ac:dyDescent="0.3">
      <c r="A709" s="3">
        <v>45470</v>
      </c>
      <c r="B709" s="4">
        <v>1530.55</v>
      </c>
    </row>
    <row r="710" spans="1:2" x14ac:dyDescent="0.3">
      <c r="A710" s="3">
        <v>45471</v>
      </c>
      <c r="B710" s="4">
        <v>1565.4</v>
      </c>
    </row>
    <row r="711" spans="1:2" x14ac:dyDescent="0.3">
      <c r="A711" s="3">
        <v>45474</v>
      </c>
      <c r="B711" s="4">
        <v>1560.15</v>
      </c>
    </row>
    <row r="712" spans="1:2" x14ac:dyDescent="0.3">
      <c r="A712" s="3">
        <v>45475</v>
      </c>
      <c r="B712" s="4">
        <v>1565.175</v>
      </c>
    </row>
    <row r="713" spans="1:2" x14ac:dyDescent="0.3">
      <c r="A713" s="3">
        <v>45476</v>
      </c>
      <c r="B713" s="4">
        <v>1552.425</v>
      </c>
    </row>
    <row r="714" spans="1:2" x14ac:dyDescent="0.3">
      <c r="A714" s="3">
        <v>45477</v>
      </c>
      <c r="B714" s="4">
        <v>1554.0250000000001</v>
      </c>
    </row>
    <row r="715" spans="1:2" x14ac:dyDescent="0.3">
      <c r="A715" s="3">
        <v>45478</v>
      </c>
      <c r="B715" s="4">
        <v>1588.625</v>
      </c>
    </row>
    <row r="716" spans="1:2" x14ac:dyDescent="0.3">
      <c r="A716" s="3">
        <v>45481</v>
      </c>
      <c r="B716" s="4">
        <v>1600.9</v>
      </c>
    </row>
    <row r="717" spans="1:2" x14ac:dyDescent="0.3">
      <c r="A717" s="3">
        <v>45482</v>
      </c>
      <c r="B717" s="4">
        <v>1590.2750000000001</v>
      </c>
    </row>
    <row r="718" spans="1:2" x14ac:dyDescent="0.3">
      <c r="A718" s="3">
        <v>45483</v>
      </c>
      <c r="B718" s="4">
        <v>1584.2249999999999</v>
      </c>
    </row>
    <row r="719" spans="1:2" x14ac:dyDescent="0.3">
      <c r="A719" s="3">
        <v>45484</v>
      </c>
      <c r="B719" s="4">
        <v>1580.65</v>
      </c>
    </row>
    <row r="720" spans="1:2" x14ac:dyDescent="0.3">
      <c r="A720" s="3">
        <v>45485</v>
      </c>
      <c r="B720" s="4">
        <v>1596.7249999999999</v>
      </c>
    </row>
    <row r="721" spans="1:2" x14ac:dyDescent="0.3">
      <c r="A721" s="3">
        <v>45488</v>
      </c>
      <c r="B721" s="4">
        <v>1597.2249999999999</v>
      </c>
    </row>
    <row r="722" spans="1:2" x14ac:dyDescent="0.3">
      <c r="A722" s="3">
        <v>45489</v>
      </c>
      <c r="B722" s="4">
        <v>1576.25</v>
      </c>
    </row>
    <row r="723" spans="1:2" x14ac:dyDescent="0.3">
      <c r="A723" s="3">
        <v>45491</v>
      </c>
      <c r="B723" s="4">
        <v>1586.675</v>
      </c>
    </row>
    <row r="724" spans="1:2" x14ac:dyDescent="0.3">
      <c r="A724" s="3">
        <v>45492</v>
      </c>
      <c r="B724" s="4">
        <v>1555.15</v>
      </c>
    </row>
    <row r="725" spans="1:2" x14ac:dyDescent="0.3">
      <c r="A725" s="3">
        <v>45495</v>
      </c>
      <c r="B725" s="4">
        <v>1500.675</v>
      </c>
    </row>
    <row r="726" spans="1:2" x14ac:dyDescent="0.3">
      <c r="A726" s="3">
        <v>45496</v>
      </c>
      <c r="B726" s="4">
        <v>1487.9</v>
      </c>
    </row>
    <row r="727" spans="1:2" x14ac:dyDescent="0.3">
      <c r="A727" s="3">
        <v>45497</v>
      </c>
      <c r="B727" s="4">
        <v>1495.7</v>
      </c>
    </row>
    <row r="728" spans="1:2" x14ac:dyDescent="0.3">
      <c r="A728" s="3">
        <v>45498</v>
      </c>
      <c r="B728" s="4">
        <v>1492.4</v>
      </c>
    </row>
    <row r="729" spans="1:2" x14ac:dyDescent="0.3">
      <c r="A729" s="3">
        <v>45499</v>
      </c>
      <c r="B729" s="4">
        <v>1509.0250000000001</v>
      </c>
    </row>
    <row r="730" spans="1:2" x14ac:dyDescent="0.3">
      <c r="A730" s="3">
        <v>45502</v>
      </c>
      <c r="B730" s="4">
        <v>1520.1</v>
      </c>
    </row>
    <row r="731" spans="1:2" x14ac:dyDescent="0.3">
      <c r="A731" s="3">
        <v>45503</v>
      </c>
      <c r="B731" s="4">
        <v>1513.15</v>
      </c>
    </row>
    <row r="732" spans="1:2" x14ac:dyDescent="0.3">
      <c r="A732" s="3">
        <v>45504</v>
      </c>
      <c r="B732" s="4">
        <v>1505.425</v>
      </c>
    </row>
    <row r="733" spans="1:2" x14ac:dyDescent="0.3">
      <c r="A733" s="3">
        <v>45505</v>
      </c>
      <c r="B733" s="4">
        <v>1515.3</v>
      </c>
    </row>
    <row r="734" spans="1:2" x14ac:dyDescent="0.3">
      <c r="A734" s="3">
        <v>45506</v>
      </c>
      <c r="B734" s="4">
        <v>1499.325</v>
      </c>
    </row>
    <row r="735" spans="1:2" x14ac:dyDescent="0.3">
      <c r="A735" s="3">
        <v>45509</v>
      </c>
      <c r="B735" s="4">
        <v>1447.325</v>
      </c>
    </row>
    <row r="736" spans="1:2" x14ac:dyDescent="0.3">
      <c r="A736" s="3">
        <v>45510</v>
      </c>
      <c r="B736" s="4">
        <v>1456.05</v>
      </c>
    </row>
    <row r="737" spans="1:2" x14ac:dyDescent="0.3">
      <c r="A737" s="3">
        <v>45511</v>
      </c>
      <c r="B737" s="4">
        <v>1464.825</v>
      </c>
    </row>
    <row r="738" spans="1:2" x14ac:dyDescent="0.3">
      <c r="A738" s="3">
        <v>45512</v>
      </c>
      <c r="B738" s="4">
        <v>1449.125</v>
      </c>
    </row>
    <row r="739" spans="1:2" x14ac:dyDescent="0.3">
      <c r="A739" s="3">
        <v>45513</v>
      </c>
      <c r="B739" s="4">
        <v>1474.3</v>
      </c>
    </row>
    <row r="740" spans="1:2" x14ac:dyDescent="0.3">
      <c r="A740" s="3">
        <v>45516</v>
      </c>
      <c r="B740" s="4">
        <v>1460.625</v>
      </c>
    </row>
    <row r="741" spans="1:2" x14ac:dyDescent="0.3">
      <c r="A741" s="3">
        <v>45517</v>
      </c>
      <c r="B741" s="4">
        <v>1463.625</v>
      </c>
    </row>
    <row r="742" spans="1:2" x14ac:dyDescent="0.3">
      <c r="A742" s="3">
        <v>45518</v>
      </c>
      <c r="B742" s="4">
        <v>1461.85</v>
      </c>
    </row>
    <row r="743" spans="1:2" x14ac:dyDescent="0.3">
      <c r="A743" s="3">
        <v>45520</v>
      </c>
      <c r="B743" s="4">
        <v>1478.2</v>
      </c>
    </row>
    <row r="744" spans="1:2" x14ac:dyDescent="0.3">
      <c r="A744" s="3">
        <v>45523</v>
      </c>
      <c r="B744" s="4">
        <v>1488.4</v>
      </c>
    </row>
    <row r="745" spans="1:2" x14ac:dyDescent="0.3">
      <c r="A745" s="3">
        <v>45524</v>
      </c>
      <c r="B745" s="4">
        <v>1495.95</v>
      </c>
    </row>
    <row r="746" spans="1:2" x14ac:dyDescent="0.3">
      <c r="A746" s="3">
        <v>45525</v>
      </c>
      <c r="B746" s="4">
        <v>1498.675</v>
      </c>
    </row>
    <row r="747" spans="1:2" x14ac:dyDescent="0.3">
      <c r="A747" s="3">
        <v>45526</v>
      </c>
      <c r="B747" s="4">
        <v>1498.125</v>
      </c>
    </row>
    <row r="748" spans="1:2" x14ac:dyDescent="0.3">
      <c r="A748" s="3">
        <v>45527</v>
      </c>
      <c r="B748" s="4">
        <v>1499.9749999999999</v>
      </c>
    </row>
    <row r="749" spans="1:2" x14ac:dyDescent="0.3">
      <c r="A749" s="3">
        <v>45530</v>
      </c>
      <c r="B749" s="4">
        <v>1512.6</v>
      </c>
    </row>
    <row r="750" spans="1:2" x14ac:dyDescent="0.3">
      <c r="A750" s="3">
        <v>45531</v>
      </c>
      <c r="B750" s="4">
        <v>1500.45</v>
      </c>
    </row>
    <row r="751" spans="1:2" x14ac:dyDescent="0.3">
      <c r="A751" s="3">
        <v>45532</v>
      </c>
      <c r="B751" s="4">
        <v>1498.3</v>
      </c>
    </row>
    <row r="752" spans="1:2" x14ac:dyDescent="0.3">
      <c r="A752" s="3">
        <v>45533</v>
      </c>
      <c r="B752" s="4">
        <v>1520.925</v>
      </c>
    </row>
    <row r="753" spans="1:2" x14ac:dyDescent="0.3">
      <c r="A753" s="3">
        <v>45534</v>
      </c>
      <c r="B753" s="4">
        <v>1509.625</v>
      </c>
    </row>
    <row r="754" spans="1:2" x14ac:dyDescent="0.3">
      <c r="A754" s="3">
        <v>45537</v>
      </c>
      <c r="B754" s="4">
        <v>1516.25</v>
      </c>
    </row>
    <row r="755" spans="1:2" x14ac:dyDescent="0.3">
      <c r="A755" s="3">
        <v>45538</v>
      </c>
      <c r="B755" s="4">
        <v>1509.125</v>
      </c>
    </row>
    <row r="756" spans="1:2" x14ac:dyDescent="0.3">
      <c r="A756" s="3">
        <v>45539</v>
      </c>
      <c r="B756" s="4">
        <v>1514.55</v>
      </c>
    </row>
    <row r="757" spans="1:2" x14ac:dyDescent="0.3">
      <c r="A757" s="3">
        <v>45540</v>
      </c>
      <c r="B757" s="4">
        <v>1492.9749999999999</v>
      </c>
    </row>
    <row r="758" spans="1:2" x14ac:dyDescent="0.3">
      <c r="A758" s="3">
        <v>45541</v>
      </c>
      <c r="B758" s="4">
        <v>1464.825</v>
      </c>
    </row>
    <row r="759" spans="1:2" x14ac:dyDescent="0.3">
      <c r="A759" s="3">
        <v>45544</v>
      </c>
      <c r="B759" s="4">
        <v>1462.45</v>
      </c>
    </row>
    <row r="760" spans="1:2" x14ac:dyDescent="0.3">
      <c r="A760" s="3">
        <v>45545</v>
      </c>
      <c r="B760" s="4">
        <v>1461.5250000000001</v>
      </c>
    </row>
    <row r="761" spans="1:2" x14ac:dyDescent="0.3">
      <c r="A761" s="3">
        <v>45546</v>
      </c>
      <c r="B761" s="4">
        <v>1451.5</v>
      </c>
    </row>
    <row r="762" spans="1:2" x14ac:dyDescent="0.3">
      <c r="A762" s="3">
        <v>45547</v>
      </c>
      <c r="B762" s="4">
        <v>1479.8</v>
      </c>
    </row>
    <row r="763" spans="1:2" x14ac:dyDescent="0.3">
      <c r="A763" s="3">
        <v>45548</v>
      </c>
      <c r="B763" s="4">
        <v>1472.625</v>
      </c>
    </row>
    <row r="764" spans="1:2" x14ac:dyDescent="0.3">
      <c r="A764" s="3">
        <v>45551</v>
      </c>
      <c r="B764" s="4">
        <v>1471.35</v>
      </c>
    </row>
    <row r="765" spans="1:2" x14ac:dyDescent="0.3">
      <c r="A765" s="3">
        <v>45552</v>
      </c>
      <c r="B765" s="4">
        <v>1472.3</v>
      </c>
    </row>
    <row r="766" spans="1:2" x14ac:dyDescent="0.3">
      <c r="A766" s="3">
        <v>45553</v>
      </c>
      <c r="B766" s="4">
        <v>1463.45</v>
      </c>
    </row>
    <row r="767" spans="1:2" x14ac:dyDescent="0.3">
      <c r="A767" s="3">
        <v>45554</v>
      </c>
      <c r="B767" s="4">
        <v>1469.675</v>
      </c>
    </row>
    <row r="768" spans="1:2" x14ac:dyDescent="0.3">
      <c r="A768" s="3">
        <v>45555</v>
      </c>
      <c r="B768" s="4">
        <v>1485.925</v>
      </c>
    </row>
    <row r="769" spans="1:2" x14ac:dyDescent="0.3">
      <c r="A769" s="3">
        <v>45558</v>
      </c>
      <c r="B769" s="4">
        <v>1493.375</v>
      </c>
    </row>
    <row r="770" spans="1:2" x14ac:dyDescent="0.3">
      <c r="A770" s="3">
        <v>45559</v>
      </c>
      <c r="B770" s="4">
        <v>1489.375</v>
      </c>
    </row>
    <row r="771" spans="1:2" x14ac:dyDescent="0.3">
      <c r="A771" s="3">
        <v>45560</v>
      </c>
      <c r="B771" s="4">
        <v>1493.95</v>
      </c>
    </row>
    <row r="772" spans="1:2" x14ac:dyDescent="0.3">
      <c r="A772" s="3">
        <v>45561</v>
      </c>
      <c r="B772" s="4">
        <v>1497.95</v>
      </c>
    </row>
    <row r="773" spans="1:2" x14ac:dyDescent="0.3">
      <c r="A773" s="3">
        <v>45562</v>
      </c>
      <c r="B773" s="4">
        <v>1526.175</v>
      </c>
    </row>
    <row r="774" spans="1:2" x14ac:dyDescent="0.3">
      <c r="A774" s="3">
        <v>45565</v>
      </c>
      <c r="B774" s="4">
        <v>1476.575</v>
      </c>
    </row>
    <row r="775" spans="1:2" x14ac:dyDescent="0.3">
      <c r="A775" s="3">
        <v>45566</v>
      </c>
      <c r="B775" s="4">
        <v>1464.825</v>
      </c>
    </row>
    <row r="776" spans="1:2" x14ac:dyDescent="0.3">
      <c r="A776" s="3">
        <v>45568</v>
      </c>
      <c r="B776" s="4">
        <v>1406.9749999999999</v>
      </c>
    </row>
    <row r="777" spans="1:2" x14ac:dyDescent="0.3">
      <c r="A777" s="3">
        <v>45569</v>
      </c>
      <c r="B777" s="4">
        <v>1386.5250000000001</v>
      </c>
    </row>
    <row r="778" spans="1:2" x14ac:dyDescent="0.3">
      <c r="A778" s="3">
        <v>45572</v>
      </c>
      <c r="B778" s="4">
        <v>1370.7249999999999</v>
      </c>
    </row>
    <row r="779" spans="1:2" x14ac:dyDescent="0.3">
      <c r="A779" s="3">
        <v>45573</v>
      </c>
      <c r="B779" s="4">
        <v>1397.35</v>
      </c>
    </row>
    <row r="780" spans="1:2" x14ac:dyDescent="0.3">
      <c r="A780" s="3">
        <v>45574</v>
      </c>
      <c r="B780" s="4">
        <v>1374.6</v>
      </c>
    </row>
    <row r="781" spans="1:2" x14ac:dyDescent="0.3">
      <c r="A781" s="3">
        <v>45575</v>
      </c>
      <c r="B781" s="4">
        <v>1371.05</v>
      </c>
    </row>
    <row r="782" spans="1:2" x14ac:dyDescent="0.3">
      <c r="A782" s="3">
        <v>45576</v>
      </c>
      <c r="B782" s="4">
        <v>1372.1</v>
      </c>
    </row>
    <row r="783" spans="1:2" x14ac:dyDescent="0.3">
      <c r="A783" s="3">
        <v>45579</v>
      </c>
      <c r="B783" s="4">
        <v>1372.5250000000001</v>
      </c>
    </row>
    <row r="784" spans="1:2" x14ac:dyDescent="0.3">
      <c r="A784" s="3">
        <v>45580</v>
      </c>
      <c r="B784" s="4">
        <v>1344.0250000000001</v>
      </c>
    </row>
    <row r="785" spans="1:2" x14ac:dyDescent="0.3">
      <c r="A785" s="3">
        <v>45581</v>
      </c>
      <c r="B785" s="4">
        <v>1354.075</v>
      </c>
    </row>
    <row r="786" spans="1:2" x14ac:dyDescent="0.3">
      <c r="A786" s="3">
        <v>45582</v>
      </c>
      <c r="B786" s="4">
        <v>1356.425</v>
      </c>
    </row>
    <row r="787" spans="1:2" x14ac:dyDescent="0.3">
      <c r="A787" s="3">
        <v>45583</v>
      </c>
      <c r="B787" s="4">
        <v>1359.3</v>
      </c>
    </row>
    <row r="788" spans="1:2" x14ac:dyDescent="0.3">
      <c r="A788" s="3">
        <v>45586</v>
      </c>
      <c r="B788" s="4">
        <v>1369.2</v>
      </c>
    </row>
    <row r="789" spans="1:2" x14ac:dyDescent="0.3">
      <c r="A789" s="3">
        <v>45587</v>
      </c>
      <c r="B789" s="4">
        <v>1343.35</v>
      </c>
    </row>
    <row r="790" spans="1:2" x14ac:dyDescent="0.3">
      <c r="A790" s="3">
        <v>45588</v>
      </c>
      <c r="B790" s="4">
        <v>1338.5250000000001</v>
      </c>
    </row>
    <row r="791" spans="1:2" x14ac:dyDescent="0.3">
      <c r="A791" s="3">
        <v>45589</v>
      </c>
      <c r="B791" s="4">
        <v>1339.8</v>
      </c>
    </row>
    <row r="792" spans="1:2" x14ac:dyDescent="0.3">
      <c r="A792" s="3">
        <v>45590</v>
      </c>
      <c r="B792" s="4">
        <v>1327.85</v>
      </c>
    </row>
    <row r="793" spans="1:2" x14ac:dyDescent="0.3">
      <c r="A793" s="3">
        <v>45593</v>
      </c>
      <c r="B793" s="4">
        <v>1334.35</v>
      </c>
    </row>
    <row r="794" spans="1:2" x14ac:dyDescent="0.3">
      <c r="A794" s="3">
        <v>45594</v>
      </c>
      <c r="B794" s="4">
        <v>1340</v>
      </c>
    </row>
    <row r="795" spans="1:2" x14ac:dyDescent="0.3">
      <c r="A795" s="3">
        <v>45595</v>
      </c>
      <c r="B795" s="4">
        <v>1343.9</v>
      </c>
    </row>
    <row r="796" spans="1:2" x14ac:dyDescent="0.3">
      <c r="A796" s="3">
        <v>45596</v>
      </c>
      <c r="B796" s="4">
        <v>1332.05</v>
      </c>
    </row>
    <row r="797" spans="1:2" x14ac:dyDescent="0.3">
      <c r="A797" s="3">
        <v>45597</v>
      </c>
      <c r="B797" s="4">
        <v>1338.65</v>
      </c>
    </row>
    <row r="798" spans="1:2" x14ac:dyDescent="0.3">
      <c r="A798" s="3">
        <v>45600</v>
      </c>
      <c r="B798" s="4">
        <v>1302.1500000000001</v>
      </c>
    </row>
    <row r="799" spans="1:2" x14ac:dyDescent="0.3">
      <c r="A799" s="3">
        <v>45601</v>
      </c>
      <c r="B799" s="4">
        <v>1305.3</v>
      </c>
    </row>
    <row r="800" spans="1:2" x14ac:dyDescent="0.3">
      <c r="A800" s="3">
        <v>45602</v>
      </c>
      <c r="B800" s="4">
        <v>1325.35</v>
      </c>
    </row>
    <row r="801" spans="1:2" x14ac:dyDescent="0.3">
      <c r="A801" s="3">
        <v>45603</v>
      </c>
      <c r="B801" s="4">
        <v>1305.6500000000001</v>
      </c>
    </row>
    <row r="802" spans="1:2" x14ac:dyDescent="0.3">
      <c r="A802" s="3">
        <v>45604</v>
      </c>
      <c r="B802" s="4">
        <v>1283.75</v>
      </c>
    </row>
    <row r="803" spans="1:2" x14ac:dyDescent="0.3">
      <c r="A803" s="3">
        <v>45607</v>
      </c>
      <c r="B803" s="4">
        <v>1272.7</v>
      </c>
    </row>
    <row r="804" spans="1:2" x14ac:dyDescent="0.3">
      <c r="A804" s="3">
        <v>45608</v>
      </c>
      <c r="B804" s="4">
        <v>1274.25</v>
      </c>
    </row>
    <row r="805" spans="1:2" x14ac:dyDescent="0.3">
      <c r="A805" s="3">
        <v>45609</v>
      </c>
      <c r="B805" s="4">
        <v>1252.05</v>
      </c>
    </row>
    <row r="806" spans="1:2" x14ac:dyDescent="0.3">
      <c r="A806" s="3">
        <v>45610</v>
      </c>
      <c r="B806" s="4">
        <v>1267.5999999999999</v>
      </c>
    </row>
    <row r="807" spans="1:2" x14ac:dyDescent="0.3">
      <c r="A807" s="3">
        <v>45614</v>
      </c>
      <c r="B807" s="4">
        <v>1260.75</v>
      </c>
    </row>
    <row r="808" spans="1:2" x14ac:dyDescent="0.3">
      <c r="A808" s="3">
        <v>45615</v>
      </c>
      <c r="B808" s="4">
        <v>1241.6500000000001</v>
      </c>
    </row>
    <row r="809" spans="1:2" x14ac:dyDescent="0.3">
      <c r="A809" s="3">
        <v>45617</v>
      </c>
      <c r="B809" s="4">
        <v>1223</v>
      </c>
    </row>
    <row r="810" spans="1:2" x14ac:dyDescent="0.3">
      <c r="A810" s="3">
        <v>45618</v>
      </c>
      <c r="B810" s="4">
        <v>1265.4000000000001</v>
      </c>
    </row>
    <row r="811" spans="1:2" x14ac:dyDescent="0.3">
      <c r="A811" s="3">
        <v>45621</v>
      </c>
      <c r="B811" s="4">
        <v>1287</v>
      </c>
    </row>
    <row r="812" spans="1:2" x14ac:dyDescent="0.3">
      <c r="A812" s="3">
        <v>45622</v>
      </c>
      <c r="B812" s="4">
        <v>1295.7</v>
      </c>
    </row>
    <row r="813" spans="1:2" x14ac:dyDescent="0.3">
      <c r="A813" s="3">
        <v>45623</v>
      </c>
      <c r="B813" s="4">
        <v>1293.2</v>
      </c>
    </row>
    <row r="814" spans="1:2" x14ac:dyDescent="0.3">
      <c r="A814" s="3">
        <v>45624</v>
      </c>
      <c r="B814" s="4">
        <v>1270.8</v>
      </c>
    </row>
    <row r="815" spans="1:2" x14ac:dyDescent="0.3">
      <c r="A815" s="3">
        <v>45625</v>
      </c>
      <c r="B815" s="4">
        <v>1292.2</v>
      </c>
    </row>
    <row r="816" spans="1:2" x14ac:dyDescent="0.3">
      <c r="A816" s="3">
        <v>45628</v>
      </c>
      <c r="B816" s="4">
        <v>1309.1500000000001</v>
      </c>
    </row>
    <row r="817" spans="1:2" x14ac:dyDescent="0.3">
      <c r="A817" s="3">
        <v>45629</v>
      </c>
      <c r="B817" s="4">
        <v>1323.3</v>
      </c>
    </row>
    <row r="818" spans="1:2" x14ac:dyDescent="0.3">
      <c r="A818" s="3">
        <v>45630</v>
      </c>
      <c r="B818" s="4">
        <v>1308.95</v>
      </c>
    </row>
    <row r="819" spans="1:2" x14ac:dyDescent="0.3">
      <c r="A819" s="3">
        <v>45631</v>
      </c>
      <c r="B819" s="4">
        <v>1322.05</v>
      </c>
    </row>
    <row r="820" spans="1:2" x14ac:dyDescent="0.3">
      <c r="A820" s="3">
        <v>45632</v>
      </c>
      <c r="B820" s="4">
        <v>1311.55</v>
      </c>
    </row>
    <row r="821" spans="1:2" x14ac:dyDescent="0.3">
      <c r="A821" s="3">
        <v>45635</v>
      </c>
      <c r="B821" s="4">
        <v>1295.1500000000001</v>
      </c>
    </row>
    <row r="822" spans="1:2" x14ac:dyDescent="0.3">
      <c r="A822" s="3">
        <v>45636</v>
      </c>
      <c r="B822" s="4">
        <v>1284.8499999999999</v>
      </c>
    </row>
    <row r="823" spans="1:2" x14ac:dyDescent="0.3">
      <c r="A823" s="3">
        <v>45637</v>
      </c>
      <c r="B823" s="4">
        <v>1278.2</v>
      </c>
    </row>
    <row r="824" spans="1:2" x14ac:dyDescent="0.3">
      <c r="A824" s="3">
        <v>45638</v>
      </c>
      <c r="B824" s="4">
        <v>1262.9000000000001</v>
      </c>
    </row>
    <row r="825" spans="1:2" x14ac:dyDescent="0.3">
      <c r="A825" s="3">
        <v>45639</v>
      </c>
      <c r="B825" s="4">
        <v>1272.8499999999999</v>
      </c>
    </row>
    <row r="826" spans="1:2" x14ac:dyDescent="0.3">
      <c r="A826" s="3">
        <v>45642</v>
      </c>
      <c r="B826" s="4">
        <v>1268.3</v>
      </c>
    </row>
    <row r="827" spans="1:2" x14ac:dyDescent="0.3">
      <c r="A827" s="3">
        <v>45643</v>
      </c>
      <c r="B827" s="4">
        <v>1245.3</v>
      </c>
    </row>
    <row r="828" spans="1:2" x14ac:dyDescent="0.3">
      <c r="A828" s="3">
        <v>45644</v>
      </c>
      <c r="B828" s="4">
        <v>1253.25</v>
      </c>
    </row>
    <row r="829" spans="1:2" x14ac:dyDescent="0.3">
      <c r="A829" s="3">
        <v>45645</v>
      </c>
      <c r="B829" s="4">
        <v>1230.45</v>
      </c>
    </row>
    <row r="830" spans="1:2" x14ac:dyDescent="0.3">
      <c r="A830" s="3">
        <v>45646</v>
      </c>
      <c r="B830" s="4">
        <v>1205.3</v>
      </c>
    </row>
    <row r="831" spans="1:2" x14ac:dyDescent="0.3">
      <c r="A831" s="3">
        <v>45649</v>
      </c>
      <c r="B831" s="4">
        <v>1222.3</v>
      </c>
    </row>
    <row r="832" spans="1:2" x14ac:dyDescent="0.3">
      <c r="A832" s="3">
        <v>45650</v>
      </c>
      <c r="B832" s="4">
        <v>1222.75</v>
      </c>
    </row>
    <row r="833" spans="1:2" x14ac:dyDescent="0.3">
      <c r="A833" s="3">
        <v>45652</v>
      </c>
      <c r="B833" s="4">
        <v>1216.55</v>
      </c>
    </row>
    <row r="834" spans="1:2" x14ac:dyDescent="0.3">
      <c r="A834" s="3">
        <v>45653</v>
      </c>
      <c r="B834" s="4">
        <v>1221.05</v>
      </c>
    </row>
    <row r="835" spans="1:2" x14ac:dyDescent="0.3">
      <c r="A835" s="3">
        <v>45656</v>
      </c>
      <c r="B835" s="4">
        <v>1210.7</v>
      </c>
    </row>
    <row r="836" spans="1:2" x14ac:dyDescent="0.3">
      <c r="A836" s="3">
        <v>45657</v>
      </c>
      <c r="B836" s="4">
        <v>1215.45</v>
      </c>
    </row>
    <row r="837" spans="1:2" x14ac:dyDescent="0.3">
      <c r="A837" s="3">
        <v>45658</v>
      </c>
      <c r="B837" s="4">
        <v>1221.25</v>
      </c>
    </row>
    <row r="838" spans="1:2" x14ac:dyDescent="0.3">
      <c r="A838" s="3">
        <v>45659</v>
      </c>
      <c r="B838" s="4">
        <v>1241.8</v>
      </c>
    </row>
    <row r="839" spans="1:2" x14ac:dyDescent="0.3">
      <c r="A839" s="3">
        <v>45660</v>
      </c>
      <c r="B839" s="4">
        <v>1251.1500000000001</v>
      </c>
    </row>
    <row r="840" spans="1:2" x14ac:dyDescent="0.3">
      <c r="A840" s="3">
        <v>45663</v>
      </c>
      <c r="B840" s="4">
        <v>1218</v>
      </c>
    </row>
    <row r="841" spans="1:2" x14ac:dyDescent="0.3">
      <c r="A841" s="3">
        <v>45664</v>
      </c>
      <c r="B841" s="4">
        <v>1240.8499999999999</v>
      </c>
    </row>
    <row r="842" spans="1:2" x14ac:dyDescent="0.3">
      <c r="A842" s="3">
        <v>45665</v>
      </c>
      <c r="B842" s="4">
        <v>1265.5</v>
      </c>
    </row>
    <row r="843" spans="1:2" x14ac:dyDescent="0.3">
      <c r="A843" s="3">
        <v>45666</v>
      </c>
      <c r="B843" s="4">
        <v>1254.75</v>
      </c>
    </row>
    <row r="844" spans="1:2" x14ac:dyDescent="0.3">
      <c r="A844" s="3">
        <v>45667</v>
      </c>
      <c r="B844" s="4">
        <v>1241.9000000000001</v>
      </c>
    </row>
    <row r="845" spans="1:2" x14ac:dyDescent="0.3">
      <c r="A845" s="3">
        <v>45670</v>
      </c>
      <c r="B845" s="4">
        <v>1239.8499999999999</v>
      </c>
    </row>
    <row r="846" spans="1:2" x14ac:dyDescent="0.3">
      <c r="A846" s="3">
        <v>45671</v>
      </c>
      <c r="B846" s="4">
        <v>1238.75</v>
      </c>
    </row>
    <row r="847" spans="1:2" x14ac:dyDescent="0.3">
      <c r="A847" s="3">
        <v>45672</v>
      </c>
      <c r="B847" s="4">
        <v>1252.2</v>
      </c>
    </row>
    <row r="848" spans="1:2" x14ac:dyDescent="0.3">
      <c r="A848" s="3">
        <v>45673</v>
      </c>
      <c r="B848" s="4">
        <v>1266.45</v>
      </c>
    </row>
    <row r="849" spans="1:2" x14ac:dyDescent="0.3">
      <c r="A849" s="3">
        <v>45674</v>
      </c>
      <c r="B849" s="4">
        <v>1302.3499999999999</v>
      </c>
    </row>
    <row r="850" spans="1:2" x14ac:dyDescent="0.3">
      <c r="A850" s="3">
        <v>45677</v>
      </c>
      <c r="B850" s="4">
        <v>1305.45</v>
      </c>
    </row>
    <row r="851" spans="1:2" x14ac:dyDescent="0.3">
      <c r="A851" s="3">
        <v>45678</v>
      </c>
      <c r="B851" s="4">
        <v>1273.7</v>
      </c>
    </row>
    <row r="852" spans="1:2" x14ac:dyDescent="0.3">
      <c r="A852" s="3">
        <v>45679</v>
      </c>
      <c r="B852" s="4">
        <v>1277.0999999999999</v>
      </c>
    </row>
    <row r="853" spans="1:2" x14ac:dyDescent="0.3">
      <c r="A853" s="3">
        <v>45680</v>
      </c>
      <c r="B853" s="4">
        <v>1263.6500000000001</v>
      </c>
    </row>
    <row r="854" spans="1:2" x14ac:dyDescent="0.3">
      <c r="A854" s="3">
        <v>45681</v>
      </c>
      <c r="B854" s="4">
        <v>1246.3</v>
      </c>
    </row>
    <row r="855" spans="1:2" x14ac:dyDescent="0.3">
      <c r="A855" s="3">
        <v>45684</v>
      </c>
      <c r="B855" s="4">
        <v>1229.3499999999999</v>
      </c>
    </row>
    <row r="856" spans="1:2" x14ac:dyDescent="0.3">
      <c r="A856" s="3">
        <v>45685</v>
      </c>
      <c r="B856" s="4">
        <v>1234.4000000000001</v>
      </c>
    </row>
    <row r="857" spans="1:2" x14ac:dyDescent="0.3">
      <c r="A857" s="3">
        <v>45686</v>
      </c>
      <c r="B857" s="4">
        <v>1235.5</v>
      </c>
    </row>
    <row r="858" spans="1:2" x14ac:dyDescent="0.3">
      <c r="A858" s="3">
        <v>45687</v>
      </c>
      <c r="B858" s="4">
        <v>1253.05</v>
      </c>
    </row>
    <row r="859" spans="1:2" x14ac:dyDescent="0.3">
      <c r="A859" s="3">
        <v>45688</v>
      </c>
      <c r="B859" s="4">
        <v>1265.0999999999999</v>
      </c>
    </row>
    <row r="860" spans="1:2" x14ac:dyDescent="0.3">
      <c r="A860" s="3">
        <v>45689</v>
      </c>
      <c r="B860" s="4">
        <v>1264.5999999999999</v>
      </c>
    </row>
    <row r="861" spans="1:2" x14ac:dyDescent="0.3">
      <c r="A861" s="3">
        <v>45691</v>
      </c>
      <c r="B861" s="4">
        <v>1245.9000000000001</v>
      </c>
    </row>
    <row r="862" spans="1:2" x14ac:dyDescent="0.3">
      <c r="A862" s="3">
        <v>45692</v>
      </c>
      <c r="B862" s="4">
        <v>1285.2</v>
      </c>
    </row>
    <row r="863" spans="1:2" x14ac:dyDescent="0.3">
      <c r="A863" s="3">
        <v>45693</v>
      </c>
      <c r="B863" s="4">
        <v>1278.2</v>
      </c>
    </row>
    <row r="864" spans="1:2" x14ac:dyDescent="0.3">
      <c r="A864" s="3">
        <v>45694</v>
      </c>
      <c r="B864" s="4">
        <v>1281.55</v>
      </c>
    </row>
    <row r="865" spans="1:2" x14ac:dyDescent="0.3">
      <c r="A865" s="3">
        <v>45695</v>
      </c>
      <c r="B865" s="4">
        <v>1266.7</v>
      </c>
    </row>
    <row r="866" spans="1:2" x14ac:dyDescent="0.3">
      <c r="A866" s="3">
        <v>45698</v>
      </c>
      <c r="B866" s="4">
        <v>1253.6500000000001</v>
      </c>
    </row>
    <row r="867" spans="1:2" x14ac:dyDescent="0.3">
      <c r="A867" s="3">
        <v>45699</v>
      </c>
      <c r="B867" s="4">
        <v>1234.8499999999999</v>
      </c>
    </row>
    <row r="868" spans="1:2" x14ac:dyDescent="0.3">
      <c r="A868" s="3">
        <v>45700</v>
      </c>
      <c r="B868" s="4">
        <v>1216.55</v>
      </c>
    </row>
    <row r="869" spans="1:2" x14ac:dyDescent="0.3">
      <c r="A869" s="3">
        <v>45701</v>
      </c>
      <c r="B869" s="4">
        <v>1216.0999999999999</v>
      </c>
    </row>
    <row r="870" spans="1:2" x14ac:dyDescent="0.3">
      <c r="A870" s="3">
        <v>45702</v>
      </c>
      <c r="B870" s="4">
        <v>1217.25</v>
      </c>
    </row>
    <row r="871" spans="1:2" x14ac:dyDescent="0.3">
      <c r="A871" s="3">
        <v>45705</v>
      </c>
      <c r="B871" s="4">
        <v>1224.9000000000001</v>
      </c>
    </row>
    <row r="872" spans="1:2" x14ac:dyDescent="0.3">
      <c r="A872" s="3">
        <v>45706</v>
      </c>
      <c r="B872" s="4">
        <v>1225.4000000000001</v>
      </c>
    </row>
    <row r="873" spans="1:2" x14ac:dyDescent="0.3">
      <c r="A873" s="3">
        <v>45707</v>
      </c>
      <c r="B873" s="4">
        <v>1227.45</v>
      </c>
    </row>
    <row r="874" spans="1:2" x14ac:dyDescent="0.3">
      <c r="A874" s="3">
        <v>45708</v>
      </c>
      <c r="B874" s="4">
        <v>1233</v>
      </c>
    </row>
    <row r="875" spans="1:2" x14ac:dyDescent="0.3">
      <c r="A875" s="3">
        <v>45709</v>
      </c>
      <c r="B875" s="4">
        <v>1228.1500000000001</v>
      </c>
    </row>
    <row r="876" spans="1:2" x14ac:dyDescent="0.3">
      <c r="A876" s="3">
        <v>45712</v>
      </c>
      <c r="B876" s="4">
        <v>1214.55</v>
      </c>
    </row>
    <row r="877" spans="1:2" x14ac:dyDescent="0.3">
      <c r="A877" s="3">
        <v>45713</v>
      </c>
      <c r="B877" s="4">
        <v>1204</v>
      </c>
    </row>
    <row r="878" spans="1:2" x14ac:dyDescent="0.3">
      <c r="A878" s="3">
        <v>45715</v>
      </c>
      <c r="B878" s="4">
        <v>1207.0999999999999</v>
      </c>
    </row>
    <row r="879" spans="1:2" x14ac:dyDescent="0.3">
      <c r="A879" s="3">
        <v>45716</v>
      </c>
      <c r="B879" s="4">
        <v>1200.0999999999999</v>
      </c>
    </row>
    <row r="880" spans="1:2" x14ac:dyDescent="0.3">
      <c r="A880" s="3">
        <v>45719</v>
      </c>
      <c r="B880" s="4">
        <v>1171.25</v>
      </c>
    </row>
    <row r="881" spans="1:2" x14ac:dyDescent="0.3">
      <c r="A881" s="3">
        <v>45720</v>
      </c>
      <c r="B881" s="4">
        <v>1161.9000000000001</v>
      </c>
    </row>
    <row r="882" spans="1:2" x14ac:dyDescent="0.3">
      <c r="A882" s="3">
        <v>45721</v>
      </c>
      <c r="B882" s="4">
        <v>1175.5999999999999</v>
      </c>
    </row>
    <row r="883" spans="1:2" x14ac:dyDescent="0.3">
      <c r="A883" s="3">
        <v>45722</v>
      </c>
      <c r="B883" s="4">
        <v>1209.5999999999999</v>
      </c>
    </row>
    <row r="884" spans="1:2" x14ac:dyDescent="0.3">
      <c r="A884" s="3">
        <v>45723</v>
      </c>
      <c r="B884" s="4">
        <v>1249.8</v>
      </c>
    </row>
    <row r="885" spans="1:2" x14ac:dyDescent="0.3">
      <c r="A885" s="3">
        <v>45726</v>
      </c>
      <c r="B885" s="4">
        <v>1238.4000000000001</v>
      </c>
    </row>
    <row r="886" spans="1:2" x14ac:dyDescent="0.3">
      <c r="A886" s="3">
        <v>45727</v>
      </c>
      <c r="B886" s="4">
        <v>1247.3</v>
      </c>
    </row>
    <row r="887" spans="1:2" x14ac:dyDescent="0.3">
      <c r="A887" s="3">
        <v>45728</v>
      </c>
      <c r="B887" s="4">
        <v>1257.05</v>
      </c>
    </row>
    <row r="888" spans="1:2" x14ac:dyDescent="0.3">
      <c r="A888" s="3">
        <v>45729</v>
      </c>
      <c r="B888" s="4">
        <v>1247.9000000000001</v>
      </c>
    </row>
    <row r="889" spans="1:2" x14ac:dyDescent="0.3">
      <c r="A889" s="3">
        <v>45733</v>
      </c>
      <c r="B889" s="4">
        <v>1238.8499999999999</v>
      </c>
    </row>
    <row r="890" spans="1:2" x14ac:dyDescent="0.3">
      <c r="A890" s="3">
        <v>45734</v>
      </c>
      <c r="B890" s="4">
        <v>1238.8</v>
      </c>
    </row>
    <row r="891" spans="1:2" x14ac:dyDescent="0.3">
      <c r="A891" s="3">
        <v>45735</v>
      </c>
      <c r="B891" s="4">
        <v>1247.1500000000001</v>
      </c>
    </row>
    <row r="892" spans="1:2" x14ac:dyDescent="0.3">
      <c r="A892" s="3">
        <v>45736</v>
      </c>
      <c r="B892" s="4">
        <v>1269.1500000000001</v>
      </c>
    </row>
    <row r="893" spans="1:2" x14ac:dyDescent="0.3">
      <c r="A893" s="3">
        <v>45737</v>
      </c>
      <c r="B893" s="4">
        <v>1276.3499999999999</v>
      </c>
    </row>
    <row r="894" spans="1:2" x14ac:dyDescent="0.3">
      <c r="A894" s="3">
        <v>45740</v>
      </c>
      <c r="B894" s="4">
        <v>1302.0999999999999</v>
      </c>
    </row>
    <row r="895" spans="1:2" x14ac:dyDescent="0.3">
      <c r="A895" s="3">
        <v>45741</v>
      </c>
      <c r="B895" s="4">
        <v>1285.45</v>
      </c>
    </row>
    <row r="896" spans="1:2" x14ac:dyDescent="0.3">
      <c r="A896" s="3">
        <v>45742</v>
      </c>
      <c r="B896" s="4">
        <v>1273.05</v>
      </c>
    </row>
    <row r="897" spans="1:2" x14ac:dyDescent="0.3">
      <c r="A897" s="3">
        <v>45743</v>
      </c>
      <c r="B897" s="4">
        <v>1278.2</v>
      </c>
    </row>
    <row r="898" spans="1:2" x14ac:dyDescent="0.3">
      <c r="A898" s="3">
        <v>45744</v>
      </c>
      <c r="B898" s="4">
        <v>1275.0999999999999</v>
      </c>
    </row>
    <row r="899" spans="1:2" x14ac:dyDescent="0.3">
      <c r="A899" s="3">
        <v>45748</v>
      </c>
      <c r="B899" s="4">
        <v>1252.5999999999999</v>
      </c>
    </row>
    <row r="900" spans="1:2" x14ac:dyDescent="0.3">
      <c r="A900" s="3">
        <v>45749</v>
      </c>
      <c r="B900" s="4">
        <v>1251.1500000000001</v>
      </c>
    </row>
    <row r="901" spans="1:2" x14ac:dyDescent="0.3">
      <c r="A901" s="3">
        <v>45750</v>
      </c>
      <c r="B901" s="4">
        <v>1248.7</v>
      </c>
    </row>
    <row r="902" spans="1:2" x14ac:dyDescent="0.3">
      <c r="A902" s="3">
        <v>45751</v>
      </c>
      <c r="B902" s="4">
        <v>1204.7</v>
      </c>
    </row>
    <row r="903" spans="1:2" x14ac:dyDescent="0.3">
      <c r="A903" s="3">
        <v>45754</v>
      </c>
      <c r="B903" s="4">
        <v>1165.7</v>
      </c>
    </row>
    <row r="904" spans="1:2" x14ac:dyDescent="0.3">
      <c r="A904" s="3">
        <v>45755</v>
      </c>
      <c r="B904" s="4">
        <v>1182.2</v>
      </c>
    </row>
    <row r="905" spans="1:2" x14ac:dyDescent="0.3">
      <c r="A905" s="3">
        <v>45756</v>
      </c>
      <c r="B905" s="4">
        <v>1185.3499999999999</v>
      </c>
    </row>
    <row r="906" spans="1:2" x14ac:dyDescent="0.3">
      <c r="A906" s="3">
        <v>45758</v>
      </c>
      <c r="B906" s="4">
        <v>1218.95</v>
      </c>
    </row>
    <row r="907" spans="1:2" x14ac:dyDescent="0.3">
      <c r="A907" s="3">
        <v>45762</v>
      </c>
      <c r="B907" s="4">
        <v>1240.0999999999999</v>
      </c>
    </row>
    <row r="908" spans="1:2" x14ac:dyDescent="0.3">
      <c r="A908" s="3">
        <v>45763</v>
      </c>
      <c r="B908" s="4">
        <v>1239.3</v>
      </c>
    </row>
    <row r="909" spans="1:2" x14ac:dyDescent="0.3">
      <c r="A909" s="3">
        <v>45764</v>
      </c>
      <c r="B909" s="4">
        <v>1274.5</v>
      </c>
    </row>
    <row r="910" spans="1:2" x14ac:dyDescent="0.3">
      <c r="A910" s="3">
        <v>45768</v>
      </c>
      <c r="B910" s="4">
        <v>1295.5</v>
      </c>
    </row>
    <row r="911" spans="1:2" x14ac:dyDescent="0.3">
      <c r="A911" s="3">
        <v>45769</v>
      </c>
      <c r="B911" s="4">
        <v>1291.2</v>
      </c>
    </row>
    <row r="912" spans="1:2" x14ac:dyDescent="0.3">
      <c r="A912" s="3">
        <v>45770</v>
      </c>
      <c r="B912" s="4">
        <v>1300</v>
      </c>
    </row>
    <row r="913" spans="1:2" x14ac:dyDescent="0.3">
      <c r="A913" s="3">
        <v>45771</v>
      </c>
      <c r="B913" s="4">
        <v>1301.5999999999999</v>
      </c>
    </row>
    <row r="914" spans="1:2" x14ac:dyDescent="0.3">
      <c r="A914" s="3">
        <v>45772</v>
      </c>
      <c r="B914" s="4">
        <v>1300.4000000000001</v>
      </c>
    </row>
    <row r="915" spans="1:2" x14ac:dyDescent="0.3">
      <c r="A915" s="3">
        <v>45775</v>
      </c>
      <c r="B915" s="4">
        <v>1368.8</v>
      </c>
    </row>
    <row r="916" spans="1:2" x14ac:dyDescent="0.3">
      <c r="A916" s="3">
        <v>45776</v>
      </c>
      <c r="B916" s="4">
        <v>1399.7</v>
      </c>
    </row>
    <row r="917" spans="1:2" x14ac:dyDescent="0.3">
      <c r="A917" s="3">
        <v>45777</v>
      </c>
      <c r="B917" s="4">
        <v>1405</v>
      </c>
    </row>
    <row r="918" spans="1:2" x14ac:dyDescent="0.3">
      <c r="A918" s="3">
        <v>45779</v>
      </c>
      <c r="B918" s="4">
        <v>1422.4</v>
      </c>
    </row>
    <row r="919" spans="1:2" x14ac:dyDescent="0.3">
      <c r="A919" s="3">
        <v>45782</v>
      </c>
      <c r="B919" s="4">
        <v>1431.3</v>
      </c>
    </row>
    <row r="920" spans="1:2" x14ac:dyDescent="0.3">
      <c r="A920" s="3">
        <v>45783</v>
      </c>
      <c r="B920" s="4">
        <v>1420.9</v>
      </c>
    </row>
    <row r="921" spans="1:2" x14ac:dyDescent="0.3">
      <c r="A921" s="3">
        <v>45784</v>
      </c>
      <c r="B921" s="4">
        <v>1406</v>
      </c>
    </row>
    <row r="922" spans="1:2" x14ac:dyDescent="0.3">
      <c r="A922" s="3">
        <v>45785</v>
      </c>
      <c r="B922" s="4">
        <v>1407</v>
      </c>
    </row>
    <row r="923" spans="1:2" x14ac:dyDescent="0.3">
      <c r="A923" s="3">
        <v>45786</v>
      </c>
      <c r="B923" s="4">
        <v>1377.2</v>
      </c>
    </row>
    <row r="924" spans="1:2" x14ac:dyDescent="0.3">
      <c r="A924" s="3">
        <v>45789</v>
      </c>
      <c r="B924" s="4">
        <v>1436.5</v>
      </c>
    </row>
    <row r="925" spans="1:2" x14ac:dyDescent="0.3">
      <c r="A925" s="3">
        <v>45790</v>
      </c>
      <c r="B925" s="4">
        <v>1415.7</v>
      </c>
    </row>
    <row r="926" spans="1:2" x14ac:dyDescent="0.3">
      <c r="A926" s="3">
        <v>45791</v>
      </c>
      <c r="B926" s="4">
        <v>1424.4</v>
      </c>
    </row>
    <row r="927" spans="1:2" x14ac:dyDescent="0.3">
      <c r="A927" s="3">
        <v>45792</v>
      </c>
      <c r="B927" s="4">
        <v>1454.2</v>
      </c>
    </row>
    <row r="928" spans="1:2" x14ac:dyDescent="0.3">
      <c r="A928" s="3">
        <v>45793</v>
      </c>
      <c r="B928" s="4">
        <v>1456.4</v>
      </c>
    </row>
    <row r="929" spans="1:2" x14ac:dyDescent="0.3">
      <c r="A929" s="3">
        <v>45796</v>
      </c>
      <c r="B929" s="4">
        <v>1440.8</v>
      </c>
    </row>
    <row r="930" spans="1:2" x14ac:dyDescent="0.3">
      <c r="A930" s="3">
        <v>45797</v>
      </c>
      <c r="B930" s="4">
        <v>1424.6</v>
      </c>
    </row>
    <row r="931" spans="1:2" x14ac:dyDescent="0.3">
      <c r="A931" s="3">
        <v>45798</v>
      </c>
      <c r="B931" s="4">
        <v>1429.2</v>
      </c>
    </row>
    <row r="932" spans="1:2" x14ac:dyDescent="0.3">
      <c r="A932" s="3">
        <v>45799</v>
      </c>
      <c r="B932" s="4">
        <v>1409.4</v>
      </c>
    </row>
    <row r="933" spans="1:2" x14ac:dyDescent="0.3">
      <c r="A933" s="3">
        <v>45800</v>
      </c>
      <c r="B933" s="4">
        <v>1426.8</v>
      </c>
    </row>
    <row r="934" spans="1:2" x14ac:dyDescent="0.3">
      <c r="A934" s="3">
        <v>45803</v>
      </c>
      <c r="B934" s="4">
        <v>1434.8</v>
      </c>
    </row>
    <row r="935" spans="1:2" x14ac:dyDescent="0.3">
      <c r="A935" s="3">
        <v>45804</v>
      </c>
      <c r="B935" s="4">
        <v>1422.1</v>
      </c>
    </row>
    <row r="936" spans="1:2" x14ac:dyDescent="0.3">
      <c r="A936" s="3">
        <v>45805</v>
      </c>
      <c r="B936" s="4">
        <v>1412.9</v>
      </c>
    </row>
    <row r="937" spans="1:2" x14ac:dyDescent="0.3">
      <c r="A937" s="3">
        <v>45806</v>
      </c>
      <c r="B937" s="4">
        <v>1417.8</v>
      </c>
    </row>
    <row r="938" spans="1:2" x14ac:dyDescent="0.3">
      <c r="A938" s="3">
        <v>45807</v>
      </c>
      <c r="B938" s="4">
        <v>1420.9</v>
      </c>
    </row>
    <row r="939" spans="1:2" x14ac:dyDescent="0.3">
      <c r="A939" s="3">
        <v>45810</v>
      </c>
      <c r="B939" s="4">
        <v>1413.7</v>
      </c>
    </row>
    <row r="940" spans="1:2" x14ac:dyDescent="0.3">
      <c r="A940" s="3">
        <v>45811</v>
      </c>
      <c r="B940" s="4">
        <v>1405.5</v>
      </c>
    </row>
    <row r="941" spans="1:2" x14ac:dyDescent="0.3">
      <c r="A941" s="3">
        <v>45812</v>
      </c>
      <c r="B941" s="4">
        <v>1423.5</v>
      </c>
    </row>
    <row r="942" spans="1:2" x14ac:dyDescent="0.3">
      <c r="A942" s="3">
        <v>45813</v>
      </c>
      <c r="B942" s="4">
        <v>1442.4</v>
      </c>
    </row>
    <row r="943" spans="1:2" x14ac:dyDescent="0.3">
      <c r="A943" s="3">
        <v>45814</v>
      </c>
      <c r="B943" s="4">
        <v>1443.5</v>
      </c>
    </row>
    <row r="944" spans="1:2" x14ac:dyDescent="0.3">
      <c r="A944" s="3">
        <v>45817</v>
      </c>
      <c r="B944" s="4">
        <v>1448.8</v>
      </c>
    </row>
    <row r="945" spans="1:2" x14ac:dyDescent="0.3">
      <c r="A945" s="3">
        <v>45818</v>
      </c>
      <c r="B945" s="4">
        <v>1438.5</v>
      </c>
    </row>
    <row r="946" spans="1:2" x14ac:dyDescent="0.3">
      <c r="A946" s="3">
        <v>45819</v>
      </c>
      <c r="B946" s="4">
        <v>1448.9</v>
      </c>
    </row>
    <row r="947" spans="1:2" x14ac:dyDescent="0.3">
      <c r="A947" s="3">
        <v>45820</v>
      </c>
      <c r="B947" s="4">
        <v>1441.6</v>
      </c>
    </row>
    <row r="948" spans="1:2" x14ac:dyDescent="0.3">
      <c r="A948" s="3">
        <v>45821</v>
      </c>
      <c r="B948" s="4">
        <v>1427.9</v>
      </c>
    </row>
    <row r="949" spans="1:2" x14ac:dyDescent="0.3">
      <c r="A949" s="3">
        <v>45824</v>
      </c>
      <c r="B949" s="4">
        <v>1437.8</v>
      </c>
    </row>
    <row r="950" spans="1:2" x14ac:dyDescent="0.3">
      <c r="A950" s="3">
        <v>45825</v>
      </c>
      <c r="B950" s="4">
        <v>1431.2</v>
      </c>
    </row>
    <row r="951" spans="1:2" x14ac:dyDescent="0.3">
      <c r="A951" s="3">
        <v>45826</v>
      </c>
      <c r="B951" s="4">
        <v>1430.1</v>
      </c>
    </row>
    <row r="952" spans="1:2" x14ac:dyDescent="0.3">
      <c r="A952" s="3">
        <v>45827</v>
      </c>
      <c r="B952" s="4">
        <v>1433.3</v>
      </c>
    </row>
    <row r="953" spans="1:2" x14ac:dyDescent="0.3">
      <c r="A953" s="3">
        <v>45828</v>
      </c>
      <c r="B953" s="4">
        <v>1466.2</v>
      </c>
    </row>
    <row r="954" spans="1:2" x14ac:dyDescent="0.3">
      <c r="A954" s="3">
        <v>45831</v>
      </c>
      <c r="B954" s="4">
        <v>1456.8</v>
      </c>
    </row>
    <row r="955" spans="1:2" x14ac:dyDescent="0.3">
      <c r="A955" s="3">
        <v>45832</v>
      </c>
      <c r="B955" s="4">
        <v>1450.8</v>
      </c>
    </row>
    <row r="956" spans="1:2" x14ac:dyDescent="0.3">
      <c r="A956" s="3">
        <v>45833</v>
      </c>
      <c r="B956" s="4">
        <v>1467.3</v>
      </c>
    </row>
    <row r="957" spans="1:2" x14ac:dyDescent="0.3">
      <c r="A957" s="3">
        <v>45834</v>
      </c>
      <c r="B957" s="4">
        <v>1495.3</v>
      </c>
    </row>
    <row r="958" spans="1:2" x14ac:dyDescent="0.3">
      <c r="A958" s="3">
        <v>45835</v>
      </c>
      <c r="B958" s="4">
        <v>1515.4</v>
      </c>
    </row>
    <row r="959" spans="1:2" x14ac:dyDescent="0.3">
      <c r="A959" s="3">
        <v>45838</v>
      </c>
      <c r="B959" s="4">
        <v>1500.6</v>
      </c>
    </row>
    <row r="960" spans="1:2" x14ac:dyDescent="0.3">
      <c r="A960" s="3">
        <v>45839</v>
      </c>
      <c r="B960" s="4">
        <v>1528.4</v>
      </c>
    </row>
    <row r="961" spans="1:2" x14ac:dyDescent="0.3">
      <c r="A961" s="3">
        <v>45840</v>
      </c>
      <c r="B961" s="4">
        <v>1518.8</v>
      </c>
    </row>
    <row r="962" spans="1:2" x14ac:dyDescent="0.3">
      <c r="A962" s="3">
        <v>45841</v>
      </c>
      <c r="B962" s="4">
        <v>1517.8</v>
      </c>
    </row>
    <row r="963" spans="1:2" x14ac:dyDescent="0.3">
      <c r="A963" s="3">
        <v>45842</v>
      </c>
      <c r="B963" s="4">
        <v>1527.3</v>
      </c>
    </row>
    <row r="964" spans="1:2" x14ac:dyDescent="0.3">
      <c r="A964" s="3">
        <v>45845</v>
      </c>
      <c r="B964" s="4">
        <v>1541.5</v>
      </c>
    </row>
    <row r="965" spans="1:2" x14ac:dyDescent="0.3">
      <c r="A965" s="3">
        <v>45846</v>
      </c>
      <c r="B965" s="4">
        <v>1537.6</v>
      </c>
    </row>
    <row r="966" spans="1:2" x14ac:dyDescent="0.3">
      <c r="A966" s="3">
        <v>45847</v>
      </c>
      <c r="B966" s="4">
        <v>1519</v>
      </c>
    </row>
    <row r="967" spans="1:2" x14ac:dyDescent="0.3">
      <c r="A967" s="3">
        <v>45848</v>
      </c>
      <c r="B967" s="4">
        <v>1517.2</v>
      </c>
    </row>
    <row r="968" spans="1:2" x14ac:dyDescent="0.3">
      <c r="A968" s="3">
        <v>45849</v>
      </c>
      <c r="B968" s="4">
        <v>1495.2</v>
      </c>
    </row>
    <row r="969" spans="1:2" x14ac:dyDescent="0.3">
      <c r="A969" s="3">
        <v>45852</v>
      </c>
      <c r="B969" s="4">
        <v>1483.7</v>
      </c>
    </row>
    <row r="970" spans="1:2" x14ac:dyDescent="0.3">
      <c r="A970" s="3">
        <v>45853</v>
      </c>
      <c r="B970" s="4">
        <v>1485.4</v>
      </c>
    </row>
    <row r="971" spans="1:2" x14ac:dyDescent="0.3">
      <c r="A971" s="3">
        <v>45854</v>
      </c>
      <c r="B971" s="4">
        <v>1485.6</v>
      </c>
    </row>
    <row r="972" spans="1:2" x14ac:dyDescent="0.3">
      <c r="A972" s="3">
        <v>45855</v>
      </c>
      <c r="B972" s="4">
        <v>1476.4</v>
      </c>
    </row>
    <row r="973" spans="1:2" x14ac:dyDescent="0.3">
      <c r="A973" s="3">
        <v>45856</v>
      </c>
      <c r="B973" s="4">
        <v>1476</v>
      </c>
    </row>
    <row r="974" spans="1:2" x14ac:dyDescent="0.3">
      <c r="A974" s="3">
        <v>45859</v>
      </c>
      <c r="B974" s="4">
        <v>1428.6</v>
      </c>
    </row>
    <row r="975" spans="1:2" x14ac:dyDescent="0.3">
      <c r="A975" s="3">
        <v>45860</v>
      </c>
      <c r="B975" s="4">
        <v>1412.8</v>
      </c>
    </row>
    <row r="976" spans="1:2" x14ac:dyDescent="0.3">
      <c r="A976" s="3">
        <v>45861</v>
      </c>
      <c r="B976" s="4">
        <v>1424.6</v>
      </c>
    </row>
    <row r="977" spans="1:2" x14ac:dyDescent="0.3">
      <c r="A977" s="3">
        <v>45862</v>
      </c>
      <c r="B977" s="4">
        <v>1402.9</v>
      </c>
    </row>
    <row r="978" spans="1:2" x14ac:dyDescent="0.3">
      <c r="A978" s="3">
        <v>45863</v>
      </c>
      <c r="B978" s="4">
        <v>1391.7</v>
      </c>
    </row>
    <row r="979" spans="1:2" x14ac:dyDescent="0.3">
      <c r="A979" s="3">
        <v>45866</v>
      </c>
      <c r="B979" s="4">
        <v>1387.6</v>
      </c>
    </row>
    <row r="980" spans="1:2" x14ac:dyDescent="0.3">
      <c r="A980" s="3">
        <v>45867</v>
      </c>
      <c r="B980" s="4">
        <v>1417.1</v>
      </c>
    </row>
    <row r="981" spans="1:2" x14ac:dyDescent="0.3">
      <c r="A981" s="3">
        <v>45868</v>
      </c>
      <c r="B981" s="4">
        <v>1410.1</v>
      </c>
    </row>
    <row r="982" spans="1:2" x14ac:dyDescent="0.3">
      <c r="A982" s="3">
        <v>45869</v>
      </c>
      <c r="B982" s="4">
        <v>1390.2</v>
      </c>
    </row>
    <row r="983" spans="1:2" x14ac:dyDescent="0.3">
      <c r="A983" s="3">
        <v>45870</v>
      </c>
      <c r="B983" s="4">
        <v>1393.7</v>
      </c>
    </row>
    <row r="984" spans="1:2" x14ac:dyDescent="0.3">
      <c r="A984" s="3">
        <v>45873</v>
      </c>
      <c r="B984" s="4">
        <v>1411.5</v>
      </c>
    </row>
    <row r="985" spans="1:2" x14ac:dyDescent="0.3">
      <c r="A985" s="3">
        <v>45874</v>
      </c>
      <c r="B985" s="4">
        <v>1391.7</v>
      </c>
    </row>
    <row r="986" spans="1:2" x14ac:dyDescent="0.3">
      <c r="A986" s="3">
        <v>45875</v>
      </c>
      <c r="B986" s="4">
        <v>1392.8</v>
      </c>
    </row>
    <row r="987" spans="1:2" x14ac:dyDescent="0.3">
      <c r="A987" s="3">
        <v>45876</v>
      </c>
      <c r="B987" s="4">
        <v>1389.4</v>
      </c>
    </row>
    <row r="988" spans="1:2" x14ac:dyDescent="0.3">
      <c r="A988" s="3">
        <v>45877</v>
      </c>
      <c r="B988" s="4">
        <v>1367.8</v>
      </c>
    </row>
    <row r="989" spans="1:2" x14ac:dyDescent="0.3">
      <c r="A989" s="3">
        <v>45880</v>
      </c>
      <c r="B989" s="4">
        <v>1386.2</v>
      </c>
    </row>
    <row r="990" spans="1:2" x14ac:dyDescent="0.3">
      <c r="A990" s="3">
        <v>45881</v>
      </c>
      <c r="B990" s="4">
        <v>1380.4</v>
      </c>
    </row>
    <row r="991" spans="1:2" x14ac:dyDescent="0.3">
      <c r="A991" s="3">
        <v>45882</v>
      </c>
      <c r="B991" s="4">
        <v>1382.6</v>
      </c>
    </row>
    <row r="992" spans="1:2" x14ac:dyDescent="0.3">
      <c r="A992" s="3">
        <v>45883</v>
      </c>
      <c r="B992" s="4">
        <v>1373.8</v>
      </c>
    </row>
    <row r="993" spans="1:2" x14ac:dyDescent="0.3">
      <c r="A993" s="3">
        <v>45887</v>
      </c>
      <c r="B993" s="4">
        <v>1381.7</v>
      </c>
    </row>
    <row r="994" spans="1:2" x14ac:dyDescent="0.3">
      <c r="A994" s="3">
        <v>45888</v>
      </c>
      <c r="B994" s="4">
        <v>1420.1</v>
      </c>
    </row>
    <row r="995" spans="1:2" x14ac:dyDescent="0.3">
      <c r="A995" s="3">
        <v>45889</v>
      </c>
      <c r="B995" s="4">
        <v>1413</v>
      </c>
    </row>
    <row r="996" spans="1:2" x14ac:dyDescent="0.3">
      <c r="A996" s="3">
        <v>45890</v>
      </c>
      <c r="B996" s="4">
        <v>1424.8</v>
      </c>
    </row>
    <row r="997" spans="1:2" x14ac:dyDescent="0.3">
      <c r="A997" s="3">
        <v>45891</v>
      </c>
      <c r="B997" s="4">
        <v>1409.2</v>
      </c>
    </row>
    <row r="998" spans="1:2" x14ac:dyDescent="0.3">
      <c r="A998" s="3">
        <v>45894</v>
      </c>
      <c r="B998" s="4">
        <v>1412.6</v>
      </c>
    </row>
    <row r="999" spans="1:2" x14ac:dyDescent="0.3">
      <c r="A999" s="3">
        <v>45895</v>
      </c>
      <c r="B999" s="4">
        <v>1384.9</v>
      </c>
    </row>
    <row r="1000" spans="1:2" x14ac:dyDescent="0.3">
      <c r="A1000" s="3">
        <v>45897</v>
      </c>
      <c r="B1000" s="4">
        <v>1385.9</v>
      </c>
    </row>
    <row r="1001" spans="1:2" x14ac:dyDescent="0.3">
      <c r="A1001" s="3">
        <v>45898</v>
      </c>
      <c r="B1001" s="4">
        <v>1357.2</v>
      </c>
    </row>
    <row r="1002" spans="1:2" x14ac:dyDescent="0.3">
      <c r="A1002" s="3">
        <v>45901</v>
      </c>
      <c r="B1002" s="4">
        <v>1353.9</v>
      </c>
    </row>
    <row r="1003" spans="1:2" x14ac:dyDescent="0.3">
      <c r="A1003" s="3">
        <v>45902</v>
      </c>
      <c r="B1003" s="4">
        <v>1366.5</v>
      </c>
    </row>
    <row r="1004" spans="1:2" x14ac:dyDescent="0.3">
      <c r="A1004" s="3">
        <v>45903</v>
      </c>
      <c r="B1004" s="4">
        <v>1372.6</v>
      </c>
    </row>
    <row r="1005" spans="1:2" x14ac:dyDescent="0.3">
      <c r="A1005" s="3">
        <v>45904</v>
      </c>
      <c r="B1005" s="4">
        <v>1359.3</v>
      </c>
    </row>
    <row r="1006" spans="1:2" x14ac:dyDescent="0.3">
      <c r="A1006" s="3">
        <v>45905</v>
      </c>
      <c r="B1006" s="4">
        <v>1375</v>
      </c>
    </row>
    <row r="1007" spans="1:2" x14ac:dyDescent="0.3">
      <c r="A1007" s="3">
        <v>45908</v>
      </c>
      <c r="B1007" s="4">
        <v>1378.5</v>
      </c>
    </row>
    <row r="1008" spans="1:2" x14ac:dyDescent="0.3">
      <c r="A1008" s="3">
        <v>45909</v>
      </c>
      <c r="B1008" s="4">
        <v>1376.2</v>
      </c>
    </row>
    <row r="1009" spans="1:2" x14ac:dyDescent="0.3">
      <c r="A1009" s="3">
        <v>45910</v>
      </c>
      <c r="B1009" s="4">
        <v>1377</v>
      </c>
    </row>
    <row r="1010" spans="1:2" x14ac:dyDescent="0.3">
      <c r="A1010" s="3">
        <v>45911</v>
      </c>
      <c r="B1010" s="4">
        <v>1383.3</v>
      </c>
    </row>
    <row r="1011" spans="1:2" x14ac:dyDescent="0.3">
      <c r="A1011" s="3">
        <v>45912</v>
      </c>
      <c r="B1011" s="4">
        <v>1395</v>
      </c>
    </row>
    <row r="1012" spans="1:2" x14ac:dyDescent="0.3">
      <c r="A1012" s="3">
        <v>45915</v>
      </c>
      <c r="B1012" s="4">
        <v>1399.3</v>
      </c>
    </row>
    <row r="1013" spans="1:2" x14ac:dyDescent="0.3">
      <c r="A1013" s="3">
        <v>45916</v>
      </c>
      <c r="B1013" s="4">
        <v>1405.3</v>
      </c>
    </row>
    <row r="1014" spans="1:2" x14ac:dyDescent="0.3">
      <c r="A1014" s="3">
        <v>45917</v>
      </c>
      <c r="B1014" s="4">
        <v>1413.8</v>
      </c>
    </row>
    <row r="1015" spans="1:2" x14ac:dyDescent="0.3">
      <c r="A1015" s="3">
        <v>45918</v>
      </c>
      <c r="B1015" s="4">
        <v>1415</v>
      </c>
    </row>
    <row r="1016" spans="1:2" x14ac:dyDescent="0.3">
      <c r="A1016" s="3">
        <v>45919</v>
      </c>
      <c r="B1016" s="4">
        <v>1407.4</v>
      </c>
    </row>
    <row r="1017" spans="1:2" x14ac:dyDescent="0.3">
      <c r="A1017" s="3">
        <v>45922</v>
      </c>
      <c r="B1017" s="4">
        <v>1390.6</v>
      </c>
    </row>
    <row r="1018" spans="1:2" x14ac:dyDescent="0.3">
      <c r="A1018" s="3">
        <v>45923</v>
      </c>
      <c r="B1018" s="4">
        <v>1389.8</v>
      </c>
    </row>
    <row r="1019" spans="1:2" x14ac:dyDescent="0.3">
      <c r="A1019" s="3">
        <v>45924</v>
      </c>
      <c r="B1019" s="4">
        <v>1383</v>
      </c>
    </row>
    <row r="1020" spans="1:2" x14ac:dyDescent="0.3">
      <c r="A1020" s="3">
        <v>45925</v>
      </c>
      <c r="B1020" s="4">
        <v>1372.4</v>
      </c>
    </row>
    <row r="1021" spans="1:2" x14ac:dyDescent="0.3">
      <c r="A1021" s="3">
        <v>45926</v>
      </c>
      <c r="B1021" s="4">
        <v>1377.6</v>
      </c>
    </row>
    <row r="1022" spans="1:2" x14ac:dyDescent="0.3">
      <c r="A1022" s="3">
        <v>45929</v>
      </c>
      <c r="B1022" s="4">
        <v>1372.8</v>
      </c>
    </row>
    <row r="1023" spans="1:2" x14ac:dyDescent="0.3">
      <c r="A1023" s="3">
        <v>45930</v>
      </c>
      <c r="B1023" s="4">
        <v>1364</v>
      </c>
    </row>
    <row r="1024" spans="1:2" x14ac:dyDescent="0.3">
      <c r="A1024" s="3">
        <v>45931</v>
      </c>
      <c r="B1024" s="4">
        <v>1368.7</v>
      </c>
    </row>
    <row r="1025" spans="1:2" x14ac:dyDescent="0.3">
      <c r="A1025" s="3">
        <v>45933</v>
      </c>
      <c r="B1025" s="4">
        <v>1363.4</v>
      </c>
    </row>
    <row r="1026" spans="1:2" x14ac:dyDescent="0.3">
      <c r="A1026" s="3">
        <v>45936</v>
      </c>
      <c r="B1026" s="4">
        <v>1375</v>
      </c>
    </row>
    <row r="1027" spans="1:2" x14ac:dyDescent="0.3">
      <c r="A1027" s="3">
        <v>45937</v>
      </c>
      <c r="B1027" s="4">
        <v>1384.8</v>
      </c>
    </row>
    <row r="1028" spans="1:2" x14ac:dyDescent="0.3">
      <c r="A1028" s="3">
        <v>45938</v>
      </c>
      <c r="B1028" s="4">
        <v>1367.4</v>
      </c>
    </row>
    <row r="1029" spans="1:2" x14ac:dyDescent="0.3">
      <c r="A1029" s="3">
        <v>45939</v>
      </c>
      <c r="B1029" s="4">
        <v>1377.8</v>
      </c>
    </row>
    <row r="1030" spans="1:2" x14ac:dyDescent="0.3">
      <c r="A1030" s="3">
        <v>45940</v>
      </c>
      <c r="B1030" s="4">
        <v>1381.7</v>
      </c>
    </row>
    <row r="1031" spans="1:2" x14ac:dyDescent="0.3">
      <c r="A1031" s="3">
        <v>45943</v>
      </c>
      <c r="B1031" s="4">
        <v>1375</v>
      </c>
    </row>
    <row r="1032" spans="1:2" x14ac:dyDescent="0.3">
      <c r="A1032" s="3">
        <v>45944</v>
      </c>
      <c r="B1032" s="4">
        <v>1375.9</v>
      </c>
    </row>
    <row r="1033" spans="1:2" x14ac:dyDescent="0.3">
      <c r="A1033" s="3">
        <v>45945</v>
      </c>
      <c r="B1033" s="4">
        <v>1374.3</v>
      </c>
    </row>
    <row r="1034" spans="1:2" x14ac:dyDescent="0.3">
      <c r="A1034" s="3">
        <v>45946</v>
      </c>
      <c r="B1034" s="4">
        <v>1398.3</v>
      </c>
    </row>
    <row r="1035" spans="1:2" x14ac:dyDescent="0.3">
      <c r="A1035" s="3">
        <v>45947</v>
      </c>
      <c r="B1035" s="4">
        <v>1416.8</v>
      </c>
    </row>
    <row r="1036" spans="1:2" x14ac:dyDescent="0.3">
      <c r="A1036" s="3">
        <v>45950</v>
      </c>
      <c r="B1036" s="4">
        <v>1466.8</v>
      </c>
    </row>
    <row r="1037" spans="1:2" x14ac:dyDescent="0.3">
      <c r="A1037" s="3">
        <v>45951</v>
      </c>
      <c r="B1037" s="4">
        <v>1465.2</v>
      </c>
    </row>
    <row r="1038" spans="1:2" x14ac:dyDescent="0.3">
      <c r="A1038" s="3">
        <v>45953</v>
      </c>
      <c r="B1038" s="4">
        <v>1448.4</v>
      </c>
    </row>
    <row r="1039" spans="1:2" x14ac:dyDescent="0.3">
      <c r="A1039" s="3">
        <v>45954</v>
      </c>
      <c r="B1039" s="4">
        <v>1451.6</v>
      </c>
    </row>
    <row r="1040" spans="1:2" x14ac:dyDescent="0.3">
      <c r="A1040" s="3">
        <v>45957</v>
      </c>
      <c r="B1040" s="4">
        <v>1484.1</v>
      </c>
    </row>
    <row r="1041" spans="1:2" x14ac:dyDescent="0.3">
      <c r="A1041" s="3">
        <v>45958</v>
      </c>
      <c r="B1041" s="4">
        <v>1486.9</v>
      </c>
    </row>
    <row r="1042" spans="1:2" x14ac:dyDescent="0.3">
      <c r="A1042" s="3">
        <v>45959</v>
      </c>
      <c r="B1042" s="4">
        <v>1504.2</v>
      </c>
    </row>
    <row r="1043" spans="1:2" x14ac:dyDescent="0.3">
      <c r="A1043" s="3">
        <v>45960</v>
      </c>
      <c r="B1043" s="4">
        <v>1488.5</v>
      </c>
    </row>
    <row r="1044" spans="1:2" x14ac:dyDescent="0.3">
      <c r="A1044" s="3">
        <v>45961</v>
      </c>
      <c r="B1044" s="4">
        <v>1486.4</v>
      </c>
    </row>
    <row r="1045" spans="1:2" x14ac:dyDescent="0.3">
      <c r="A1045" s="3">
        <v>45964</v>
      </c>
      <c r="B1045" s="4">
        <v>1484.7</v>
      </c>
    </row>
    <row r="1046" spans="1:2" x14ac:dyDescent="0.3">
      <c r="A1046" s="3">
        <v>45965</v>
      </c>
      <c r="B1046" s="4">
        <v>1473.1</v>
      </c>
    </row>
    <row r="1047" spans="1:2" x14ac:dyDescent="0.3">
      <c r="A1047" s="3">
        <v>45967</v>
      </c>
      <c r="B1047" s="4">
        <v>1496.1</v>
      </c>
    </row>
    <row r="1048" spans="1:2" x14ac:dyDescent="0.3">
      <c r="A1048" s="3">
        <v>45968</v>
      </c>
      <c r="B1048" s="4">
        <v>1478</v>
      </c>
    </row>
    <row r="1049" spans="1:2" x14ac:dyDescent="0.3">
      <c r="A1049" s="3">
        <v>45971</v>
      </c>
      <c r="B1049" s="4">
        <v>1489.3</v>
      </c>
    </row>
    <row r="1050" spans="1:2" x14ac:dyDescent="0.3">
      <c r="A1050" s="3">
        <v>45972</v>
      </c>
      <c r="B1050" s="4">
        <v>1493.4</v>
      </c>
    </row>
    <row r="1051" spans="1:2" x14ac:dyDescent="0.3">
      <c r="A1051" s="3">
        <v>45973</v>
      </c>
      <c r="B1051" s="4">
        <v>1511.5</v>
      </c>
    </row>
    <row r="1052" spans="1:2" x14ac:dyDescent="0.3">
      <c r="A1052" s="3">
        <v>45974</v>
      </c>
      <c r="B1052" s="4">
        <v>1510.9</v>
      </c>
    </row>
    <row r="1053" spans="1:2" x14ac:dyDescent="0.3">
      <c r="A1053" s="3">
        <v>45975</v>
      </c>
      <c r="B1053" s="4">
        <v>1518.9</v>
      </c>
    </row>
    <row r="1054" spans="1:2" x14ac:dyDescent="0.3">
      <c r="A1054" s="3">
        <v>45978</v>
      </c>
      <c r="B1054" s="4">
        <v>1518.3</v>
      </c>
    </row>
    <row r="1055" spans="1:2" x14ac:dyDescent="0.3">
      <c r="A1055" s="3">
        <v>45979</v>
      </c>
      <c r="B1055" s="4">
        <v>1519.4</v>
      </c>
    </row>
    <row r="1056" spans="1:2" x14ac:dyDescent="0.3">
      <c r="A1056" s="3">
        <v>45980</v>
      </c>
      <c r="B1056" s="4">
        <v>1518.9</v>
      </c>
    </row>
    <row r="1057" spans="1:2" x14ac:dyDescent="0.3">
      <c r="A1057" s="3">
        <v>45981</v>
      </c>
      <c r="B1057" s="4">
        <v>1549.1</v>
      </c>
    </row>
    <row r="1058" spans="1:2" x14ac:dyDescent="0.3">
      <c r="A1058" s="3">
        <v>45982</v>
      </c>
      <c r="B1058" s="4">
        <v>1546.6</v>
      </c>
    </row>
    <row r="1059" spans="1:2" x14ac:dyDescent="0.3">
      <c r="A1059" s="3">
        <v>45985</v>
      </c>
      <c r="B1059" s="4">
        <v>1535.9</v>
      </c>
    </row>
    <row r="1060" spans="1:2" x14ac:dyDescent="0.3">
      <c r="A1060" s="3">
        <v>45986</v>
      </c>
      <c r="B1060" s="4">
        <v>1539.7</v>
      </c>
    </row>
    <row r="1061" spans="1:2" x14ac:dyDescent="0.3">
      <c r="A1061" s="3">
        <v>45987</v>
      </c>
      <c r="B1061" s="4">
        <v>1569.9</v>
      </c>
    </row>
    <row r="1062" spans="1:2" x14ac:dyDescent="0.3">
      <c r="A1062" s="3">
        <v>45988</v>
      </c>
      <c r="B1062" s="4">
        <v>1563.4</v>
      </c>
    </row>
    <row r="1063" spans="1:2" x14ac:dyDescent="0.3">
      <c r="A1063" s="3">
        <v>45989</v>
      </c>
      <c r="B1063" s="4">
        <v>1567.5</v>
      </c>
    </row>
    <row r="1064" spans="1:2" x14ac:dyDescent="0.3">
      <c r="A1064" s="3">
        <v>45992</v>
      </c>
      <c r="B1064" s="4">
        <v>1566.1</v>
      </c>
    </row>
    <row r="1065" spans="1:2" x14ac:dyDescent="0.3">
      <c r="A1065" s="3">
        <v>45993</v>
      </c>
      <c r="B1065" s="4">
        <v>1546.3</v>
      </c>
    </row>
    <row r="1066" spans="1:2" x14ac:dyDescent="0.3">
      <c r="A1066" s="3">
        <v>45994</v>
      </c>
      <c r="B1066" s="4">
        <v>1538.8</v>
      </c>
    </row>
    <row r="1067" spans="1:2" x14ac:dyDescent="0.3">
      <c r="A1067" s="3">
        <v>45995</v>
      </c>
      <c r="B1067" s="4">
        <v>1535.6</v>
      </c>
    </row>
    <row r="1068" spans="1:2" x14ac:dyDescent="0.3">
      <c r="A1068" s="3">
        <v>45996</v>
      </c>
      <c r="B1068" s="4">
        <v>1540.6</v>
      </c>
    </row>
    <row r="1069" spans="1:2" x14ac:dyDescent="0.3">
      <c r="A1069" s="3">
        <v>45999</v>
      </c>
      <c r="B1069" s="4">
        <v>1543</v>
      </c>
    </row>
    <row r="1070" spans="1:2" x14ac:dyDescent="0.3">
      <c r="A1070" s="3">
        <v>46000</v>
      </c>
      <c r="B1070" s="4">
        <v>1529.4</v>
      </c>
    </row>
    <row r="1071" spans="1:2" x14ac:dyDescent="0.3">
      <c r="A1071" s="3">
        <v>46001</v>
      </c>
      <c r="B1071" s="4">
        <v>1536.9</v>
      </c>
    </row>
    <row r="1072" spans="1:2" x14ac:dyDescent="0.3">
      <c r="A1072" s="3">
        <v>46002</v>
      </c>
      <c r="B1072" s="4">
        <v>1545</v>
      </c>
    </row>
    <row r="1073" spans="1:2" x14ac:dyDescent="0.3">
      <c r="A1073" s="3">
        <v>46003</v>
      </c>
      <c r="B1073" s="4">
        <v>1556.5</v>
      </c>
    </row>
    <row r="1074" spans="1:2" x14ac:dyDescent="0.3">
      <c r="A1074" s="3">
        <v>46006</v>
      </c>
      <c r="B1074" s="4">
        <v>1556.2</v>
      </c>
    </row>
    <row r="1075" spans="1:2" x14ac:dyDescent="0.3">
      <c r="A1075" s="3">
        <v>46007</v>
      </c>
      <c r="B1075" s="4">
        <v>1542.3</v>
      </c>
    </row>
    <row r="1076" spans="1:2" x14ac:dyDescent="0.3">
      <c r="A1076" s="3">
        <v>46008</v>
      </c>
      <c r="B1076" s="4">
        <v>1544.4</v>
      </c>
    </row>
    <row r="1077" spans="1:2" x14ac:dyDescent="0.3">
      <c r="A1077" s="3">
        <v>46009</v>
      </c>
      <c r="B1077" s="4">
        <v>1544.4</v>
      </c>
    </row>
    <row r="1078" spans="1:2" x14ac:dyDescent="0.3">
      <c r="A1078" s="3">
        <v>46010</v>
      </c>
      <c r="B1078" s="4">
        <v>1565.1</v>
      </c>
    </row>
    <row r="1079" spans="1:2" x14ac:dyDescent="0.3">
      <c r="A1079" s="3">
        <v>46013</v>
      </c>
      <c r="B1079" s="4">
        <v>1575.4</v>
      </c>
    </row>
    <row r="1080" spans="1:2" x14ac:dyDescent="0.3">
      <c r="A1080" s="3">
        <v>46014</v>
      </c>
      <c r="B1080" s="4">
        <v>1570.7</v>
      </c>
    </row>
    <row r="1081" spans="1:2" x14ac:dyDescent="0.3">
      <c r="A1081" s="3">
        <v>46015</v>
      </c>
      <c r="B1081" s="4">
        <v>1558.2</v>
      </c>
    </row>
    <row r="1082" spans="1:2" x14ac:dyDescent="0.3">
      <c r="A1082" s="3">
        <v>46017</v>
      </c>
      <c r="B1082" s="4">
        <v>1559.2</v>
      </c>
    </row>
    <row r="1083" spans="1:2" x14ac:dyDescent="0.3">
      <c r="A1083" s="3">
        <v>46020</v>
      </c>
      <c r="B1083" s="4">
        <v>1545.6</v>
      </c>
    </row>
    <row r="1084" spans="1:2" x14ac:dyDescent="0.3">
      <c r="A1084" s="3">
        <v>46021</v>
      </c>
      <c r="B1084" s="4">
        <v>1539.8</v>
      </c>
    </row>
    <row r="1085" spans="1:2" x14ac:dyDescent="0.3">
      <c r="A1085" s="3">
        <v>46022</v>
      </c>
      <c r="B1085" s="4">
        <v>1570.4</v>
      </c>
    </row>
    <row r="1086" spans="1:2" x14ac:dyDescent="0.3">
      <c r="A1086" s="3">
        <v>46023</v>
      </c>
      <c r="B1086" s="4">
        <v>1575.6</v>
      </c>
    </row>
    <row r="1087" spans="1:2" x14ac:dyDescent="0.3">
      <c r="A1087" s="3">
        <v>46024</v>
      </c>
      <c r="B1087" s="4">
        <v>1592.3</v>
      </c>
    </row>
    <row r="1088" spans="1:2" x14ac:dyDescent="0.3">
      <c r="A1088" s="3">
        <v>46027</v>
      </c>
      <c r="B1088" s="4">
        <v>1578.1</v>
      </c>
    </row>
    <row r="1089" spans="1:2" x14ac:dyDescent="0.3">
      <c r="A1089" s="3">
        <v>46028</v>
      </c>
      <c r="B1089" s="4">
        <v>1507.6</v>
      </c>
    </row>
    <row r="1090" spans="1:2" x14ac:dyDescent="0.3">
      <c r="A1090" s="3">
        <v>46029</v>
      </c>
      <c r="B1090" s="4">
        <v>1504.2</v>
      </c>
    </row>
    <row r="1091" spans="1:2" x14ac:dyDescent="0.3">
      <c r="A1091" s="3">
        <v>46030</v>
      </c>
      <c r="B1091" s="4">
        <v>1470.6</v>
      </c>
    </row>
    <row r="1092" spans="1:2" x14ac:dyDescent="0.3">
      <c r="A1092" s="3">
        <v>46031</v>
      </c>
      <c r="B1092" s="4">
        <v>1475.3</v>
      </c>
    </row>
    <row r="1093" spans="1:2" x14ac:dyDescent="0.3">
      <c r="A1093" s="3">
        <v>46034</v>
      </c>
      <c r="B1093" s="4">
        <v>1483.2</v>
      </c>
    </row>
    <row r="1094" spans="1:2" x14ac:dyDescent="0.3">
      <c r="A1094" s="3">
        <v>46035</v>
      </c>
      <c r="B1094" s="4">
        <v>1452.8</v>
      </c>
    </row>
    <row r="1095" spans="1:2" x14ac:dyDescent="0.3">
      <c r="A1095" s="3">
        <v>46036</v>
      </c>
      <c r="B1095" s="4">
        <v>1458.8</v>
      </c>
    </row>
    <row r="1096" spans="1:2" x14ac:dyDescent="0.3">
      <c r="A1096" s="3">
        <v>46038</v>
      </c>
      <c r="B1096" s="4">
        <v>1457.9</v>
      </c>
    </row>
    <row r="1097" spans="1:2" x14ac:dyDescent="0.3">
      <c r="A1097" s="3">
        <v>46041</v>
      </c>
      <c r="B1097" s="4">
        <v>1413.6</v>
      </c>
    </row>
    <row r="1098" spans="1:2" x14ac:dyDescent="0.3">
      <c r="A1098" s="3">
        <v>46042</v>
      </c>
      <c r="B1098" s="4">
        <v>1394</v>
      </c>
    </row>
    <row r="1099" spans="1:2" x14ac:dyDescent="0.3">
      <c r="A1099" s="3">
        <v>46043</v>
      </c>
      <c r="B1099" s="4">
        <v>1404.6</v>
      </c>
    </row>
    <row r="1100" spans="1:2" x14ac:dyDescent="0.3">
      <c r="A1100" s="3">
        <v>46044</v>
      </c>
      <c r="B1100" s="4">
        <v>1402.5</v>
      </c>
    </row>
    <row r="1101" spans="1:2" x14ac:dyDescent="0.3">
      <c r="A1101" s="3">
        <v>46045</v>
      </c>
      <c r="B1101" s="4">
        <v>1386.1</v>
      </c>
    </row>
    <row r="1102" spans="1:2" x14ac:dyDescent="0.3">
      <c r="A1102" s="3">
        <v>46049</v>
      </c>
      <c r="B1102" s="4">
        <v>1380.5</v>
      </c>
    </row>
    <row r="1103" spans="1:2" x14ac:dyDescent="0.3">
      <c r="A1103" s="3">
        <v>46050</v>
      </c>
      <c r="B1103" s="4">
        <v>1396.7</v>
      </c>
    </row>
    <row r="1104" spans="1:2" x14ac:dyDescent="0.3">
      <c r="A1104" s="3">
        <v>46051</v>
      </c>
      <c r="B1104" s="4">
        <v>1391</v>
      </c>
    </row>
    <row r="1105" spans="1:2" x14ac:dyDescent="0.3">
      <c r="A1105" s="3">
        <v>46052</v>
      </c>
      <c r="B1105" s="4">
        <v>1395.4</v>
      </c>
    </row>
    <row r="1106" spans="1:2" x14ac:dyDescent="0.3">
      <c r="A1106" s="3">
        <v>46054</v>
      </c>
      <c r="B1106" s="4">
        <v>1347</v>
      </c>
    </row>
    <row r="1107" spans="1:2" x14ac:dyDescent="0.3">
      <c r="A1107" s="3">
        <v>46055</v>
      </c>
      <c r="B1107" s="4">
        <v>1390.4</v>
      </c>
    </row>
    <row r="1108" spans="1:2" x14ac:dyDescent="0.3">
      <c r="A1108" s="3">
        <v>46056</v>
      </c>
      <c r="B1108" s="4">
        <v>1437.1</v>
      </c>
    </row>
    <row r="1109" spans="1:2" x14ac:dyDescent="0.3">
      <c r="A1109" s="3">
        <v>46057</v>
      </c>
      <c r="B1109" s="4">
        <v>1456.8</v>
      </c>
    </row>
    <row r="1110" spans="1:2" x14ac:dyDescent="0.3">
      <c r="A1110" s="3">
        <v>46058</v>
      </c>
      <c r="B1110" s="4">
        <v>1443.4</v>
      </c>
    </row>
    <row r="1111" spans="1:2" x14ac:dyDescent="0.3">
      <c r="A1111" s="3">
        <v>46059</v>
      </c>
      <c r="B1111" s="4">
        <v>1450.8</v>
      </c>
    </row>
    <row r="1112" spans="1:2" x14ac:dyDescent="0.3">
      <c r="A1112" s="3">
        <v>46062</v>
      </c>
      <c r="B1112" s="4">
        <v>1461.6</v>
      </c>
    </row>
    <row r="1113" spans="1:2" x14ac:dyDescent="0.3">
      <c r="A1113" s="3">
        <v>46063</v>
      </c>
      <c r="B1113" s="4">
        <v>1458.5</v>
      </c>
    </row>
    <row r="1114" spans="1:2" x14ac:dyDescent="0.3">
      <c r="A1114" s="3">
        <v>46064</v>
      </c>
      <c r="B1114" s="4">
        <v>1468.7</v>
      </c>
    </row>
    <row r="1115" spans="1:2" x14ac:dyDescent="0.3">
      <c r="A1115" s="3">
        <v>46065</v>
      </c>
      <c r="B1115" s="4">
        <v>1448.9</v>
      </c>
    </row>
    <row r="1116" spans="1:2" x14ac:dyDescent="0.3">
      <c r="A1116" s="3">
        <v>46066</v>
      </c>
      <c r="B1116" s="4">
        <v>1419.6</v>
      </c>
    </row>
    <row r="1117" spans="1:2" x14ac:dyDescent="0.3">
      <c r="A1117" s="3">
        <v>46069</v>
      </c>
      <c r="B1117" s="4">
        <v>1437.1</v>
      </c>
    </row>
    <row r="1118" spans="1:2" x14ac:dyDescent="0.3">
      <c r="A1118" s="3">
        <v>46070</v>
      </c>
      <c r="B1118" s="4">
        <v>1423</v>
      </c>
    </row>
    <row r="1119" spans="1:2" x14ac:dyDescent="0.3">
      <c r="A1119" s="3">
        <v>46071</v>
      </c>
      <c r="B1119" s="4">
        <v>1441.3</v>
      </c>
    </row>
    <row r="1120" spans="1:2" x14ac:dyDescent="0.3">
      <c r="A1120" s="3">
        <v>46072</v>
      </c>
      <c r="B1120" s="4">
        <v>1409.5</v>
      </c>
    </row>
    <row r="1121" spans="1:2" x14ac:dyDescent="0.3">
      <c r="A1121" s="3">
        <v>46073</v>
      </c>
      <c r="B1121" s="4">
        <v>1419.4</v>
      </c>
    </row>
    <row r="1122" spans="1:2" x14ac:dyDescent="0.3">
      <c r="A1122" s="3">
        <v>46076</v>
      </c>
      <c r="B1122" s="4">
        <v>1428</v>
      </c>
    </row>
    <row r="1123" spans="1:2" x14ac:dyDescent="0.3">
      <c r="A1123" s="3">
        <v>46077</v>
      </c>
      <c r="B1123" s="4">
        <v>1428.8</v>
      </c>
    </row>
    <row r="1124" spans="1:2" x14ac:dyDescent="0.3">
      <c r="A1124" s="3">
        <v>46078</v>
      </c>
      <c r="B1124" s="4">
        <v>1398.5</v>
      </c>
    </row>
    <row r="1125" spans="1:2" x14ac:dyDescent="0.3">
      <c r="A1125" s="3">
        <v>46079</v>
      </c>
      <c r="B1125" s="4">
        <v>1406.8</v>
      </c>
    </row>
    <row r="1126" spans="1:2" x14ac:dyDescent="0.3">
      <c r="A1126" s="3">
        <v>46080</v>
      </c>
      <c r="B1126" s="4">
        <v>1393.9</v>
      </c>
    </row>
    <row r="1127" spans="1:2" x14ac:dyDescent="0.3">
      <c r="A1127" s="3">
        <v>46083</v>
      </c>
      <c r="B1127" s="4">
        <v>1358</v>
      </c>
    </row>
    <row r="1128" spans="1:2" x14ac:dyDescent="0.3">
      <c r="A1128" s="3">
        <v>46085</v>
      </c>
      <c r="B1128" s="4">
        <v>1345</v>
      </c>
    </row>
    <row r="1129" spans="1:2" x14ac:dyDescent="0.3">
      <c r="A1129" s="3">
        <v>46086</v>
      </c>
      <c r="B1129" s="4">
        <v>1389.4</v>
      </c>
    </row>
    <row r="1130" spans="1:2" x14ac:dyDescent="0.3">
      <c r="A1130" s="3">
        <v>46087</v>
      </c>
      <c r="B1130" s="4">
        <v>1404.8</v>
      </c>
    </row>
    <row r="1131" spans="1:2" x14ac:dyDescent="0.3">
      <c r="A1131" s="3">
        <v>46090</v>
      </c>
      <c r="B1131" s="4">
        <v>1424</v>
      </c>
    </row>
    <row r="1132" spans="1:2" x14ac:dyDescent="0.3">
      <c r="A1132" s="3">
        <v>46091</v>
      </c>
      <c r="B1132" s="4">
        <v>1408.8</v>
      </c>
    </row>
    <row r="1133" spans="1:2" x14ac:dyDescent="0.3">
      <c r="A1133" s="3">
        <v>46092</v>
      </c>
      <c r="B1133" s="4">
        <v>1390.2</v>
      </c>
    </row>
    <row r="1134" spans="1:2" x14ac:dyDescent="0.3">
      <c r="A1134" s="3">
        <v>46093</v>
      </c>
      <c r="B1134" s="4">
        <v>1392.2</v>
      </c>
    </row>
    <row r="1135" spans="1:2" x14ac:dyDescent="0.3">
      <c r="A1135" s="3">
        <v>46094</v>
      </c>
      <c r="B1135" s="4">
        <v>1380.7</v>
      </c>
    </row>
    <row r="1136" spans="1:2" x14ac:dyDescent="0.3">
      <c r="A1136" s="3">
        <v>46097</v>
      </c>
      <c r="B1136" s="4">
        <v>1395.1</v>
      </c>
    </row>
    <row r="1137" spans="1:2" x14ac:dyDescent="0.3">
      <c r="A1137" s="3">
        <v>46098</v>
      </c>
      <c r="B1137" s="4">
        <v>1397.6</v>
      </c>
    </row>
    <row r="1138" spans="1:2" x14ac:dyDescent="0.3">
      <c r="A1138" s="3">
        <v>46099</v>
      </c>
      <c r="B1138" s="4">
        <v>1408.1</v>
      </c>
    </row>
    <row r="1139" spans="1:2" x14ac:dyDescent="0.3">
      <c r="A1139" s="3">
        <v>46100</v>
      </c>
      <c r="B1139" s="4">
        <v>1384.8</v>
      </c>
    </row>
    <row r="1140" spans="1:2" x14ac:dyDescent="0.3">
      <c r="A1140" s="3">
        <v>46101</v>
      </c>
      <c r="B1140" s="4">
        <v>1414.4</v>
      </c>
    </row>
    <row r="1141" spans="1:2" x14ac:dyDescent="0.3">
      <c r="A1141" s="3">
        <v>46104</v>
      </c>
      <c r="B1141" s="4">
        <v>1407.8</v>
      </c>
    </row>
    <row r="1142" spans="1:2" x14ac:dyDescent="0.3">
      <c r="A1142" s="3">
        <v>46105</v>
      </c>
      <c r="B1142" s="4">
        <v>1411.8</v>
      </c>
    </row>
    <row r="1143" spans="1:2" x14ac:dyDescent="0.3">
      <c r="A1143" s="3">
        <v>46106</v>
      </c>
      <c r="B1143" s="4">
        <v>1413.1</v>
      </c>
    </row>
    <row r="1144" spans="1:2" x14ac:dyDescent="0.3">
      <c r="A1144" s="3">
        <v>46108</v>
      </c>
      <c r="B1144" s="4">
        <v>1348.1</v>
      </c>
    </row>
    <row r="1145" spans="1:2" x14ac:dyDescent="0.3">
      <c r="A1145" s="3">
        <v>46111</v>
      </c>
      <c r="B1145" s="4">
        <v>1343.9</v>
      </c>
    </row>
    <row r="1146" spans="1:2" x14ac:dyDescent="0.3">
      <c r="A1146" s="3">
        <v>46113</v>
      </c>
      <c r="B1146" s="4">
        <v>1369.2</v>
      </c>
    </row>
    <row r="1147" spans="1:2" x14ac:dyDescent="0.3">
      <c r="A1147" s="3">
        <v>46114</v>
      </c>
      <c r="B1147" s="4">
        <v>1350.5</v>
      </c>
    </row>
    <row r="1148" spans="1:2" x14ac:dyDescent="0.3">
      <c r="A1148" s="3">
        <v>46118</v>
      </c>
      <c r="B1148" s="4">
        <v>1304.7</v>
      </c>
    </row>
    <row r="1149" spans="1:2" x14ac:dyDescent="0.3">
      <c r="A1149" s="3">
        <v>46119</v>
      </c>
      <c r="B1149" s="4">
        <v>1304.5999999999999</v>
      </c>
    </row>
    <row r="1150" spans="1:2" x14ac:dyDescent="0.3">
      <c r="A1150" s="3">
        <v>46120</v>
      </c>
      <c r="B1150" s="4">
        <v>1347.8</v>
      </c>
    </row>
    <row r="1151" spans="1:2" x14ac:dyDescent="0.3">
      <c r="A1151" s="3">
        <v>46121</v>
      </c>
      <c r="B1151" s="4">
        <v>1330</v>
      </c>
    </row>
    <row r="1152" spans="1:2" x14ac:dyDescent="0.3">
      <c r="A1152" s="3">
        <v>46122</v>
      </c>
      <c r="B1152" s="4">
        <v>1350.2</v>
      </c>
    </row>
    <row r="1153" spans="1:2" x14ac:dyDescent="0.3">
      <c r="A1153" s="3">
        <v>46125</v>
      </c>
      <c r="B1153" s="4">
        <v>1315.1</v>
      </c>
    </row>
    <row r="1154" spans="1:2" x14ac:dyDescent="0.3">
      <c r="A1154" s="3">
        <v>46127</v>
      </c>
      <c r="B1154" s="4">
        <v>1344.1</v>
      </c>
    </row>
    <row r="1155" spans="1:2" x14ac:dyDescent="0.3">
      <c r="A1155" s="3">
        <v>46128</v>
      </c>
      <c r="B1155" s="4">
        <v>1343.3</v>
      </c>
    </row>
    <row r="1156" spans="1:2" x14ac:dyDescent="0.3">
      <c r="A1156" s="3">
        <v>46129</v>
      </c>
      <c r="B1156" s="4">
        <v>1365</v>
      </c>
    </row>
    <row r="1157" spans="1:2" x14ac:dyDescent="0.3">
      <c r="A1157" s="3">
        <v>46132</v>
      </c>
      <c r="B1157" s="4">
        <v>1363.3</v>
      </c>
    </row>
    <row r="1158" spans="1:2" x14ac:dyDescent="0.3">
      <c r="A1158" s="3">
        <v>46133</v>
      </c>
      <c r="B1158" s="4">
        <v>1353.3</v>
      </c>
    </row>
    <row r="1159" spans="1:2" x14ac:dyDescent="0.3">
      <c r="A1159" s="3">
        <v>46134</v>
      </c>
      <c r="B1159" s="4">
        <v>1362.1</v>
      </c>
    </row>
    <row r="1160" spans="1:2" x14ac:dyDescent="0.3">
      <c r="A1160" s="3">
        <v>46135</v>
      </c>
      <c r="B1160" s="4">
        <v>1343.4</v>
      </c>
    </row>
    <row r="1161" spans="1:2" x14ac:dyDescent="0.3">
      <c r="A1161" s="3">
        <v>46136</v>
      </c>
      <c r="B1161" s="4">
        <v>1327.8</v>
      </c>
    </row>
    <row r="1162" spans="1:2" x14ac:dyDescent="0.3">
      <c r="A1162" s="3">
        <v>46139</v>
      </c>
      <c r="B1162" s="4">
        <v>1365.8</v>
      </c>
    </row>
    <row r="1163" spans="1:2" x14ac:dyDescent="0.3">
      <c r="A1163" s="3">
        <v>46140</v>
      </c>
      <c r="B1163" s="4">
        <v>1388.9</v>
      </c>
    </row>
    <row r="1164" spans="1:2" x14ac:dyDescent="0.3">
      <c r="A1164" s="3">
        <v>46141</v>
      </c>
      <c r="B1164" s="4">
        <v>1425.4</v>
      </c>
    </row>
    <row r="1165" spans="1:2" x14ac:dyDescent="0.3">
      <c r="A1165" s="3">
        <v>46142</v>
      </c>
      <c r="B1165" s="4">
        <v>1430.8</v>
      </c>
    </row>
    <row r="1166" spans="1:2" x14ac:dyDescent="0.3">
      <c r="A1166" s="3">
        <v>46146</v>
      </c>
      <c r="B1166" s="4">
        <v>1463.1</v>
      </c>
    </row>
    <row r="1167" spans="1:2" x14ac:dyDescent="0.3">
      <c r="A1167" s="3">
        <v>46147</v>
      </c>
      <c r="B1167" s="4">
        <v>1463.6</v>
      </c>
    </row>
    <row r="1168" spans="1:2" x14ac:dyDescent="0.3">
      <c r="A1168" s="3">
        <v>46148</v>
      </c>
      <c r="B1168" s="4">
        <v>1437.9</v>
      </c>
    </row>
    <row r="1169" spans="1:2" x14ac:dyDescent="0.3">
      <c r="A1169" s="3">
        <v>46149</v>
      </c>
      <c r="B1169" s="4">
        <v>1436.2</v>
      </c>
    </row>
    <row r="1170" spans="1:2" x14ac:dyDescent="0.3">
      <c r="A1170" s="3">
        <v>46150</v>
      </c>
      <c r="B1170" s="4">
        <v>1435.2</v>
      </c>
    </row>
    <row r="1171" spans="1:2" x14ac:dyDescent="0.3">
      <c r="A1171" s="3">
        <v>46153</v>
      </c>
      <c r="B1171" s="4">
        <v>1388.2</v>
      </c>
    </row>
    <row r="1172" spans="1:2" x14ac:dyDescent="0.3">
      <c r="A1172" s="3">
        <v>46154</v>
      </c>
      <c r="B1172" s="4">
        <v>1364</v>
      </c>
    </row>
    <row r="1173" spans="1:2" x14ac:dyDescent="0.3">
      <c r="A1173" s="3">
        <v>46155</v>
      </c>
      <c r="B1173" s="4">
        <v>1358.8</v>
      </c>
    </row>
    <row r="1174" spans="1:2" x14ac:dyDescent="0.3">
      <c r="A1174" s="3">
        <v>46156</v>
      </c>
      <c r="B1174" s="4">
        <v>1361.8</v>
      </c>
    </row>
    <row r="1175" spans="1:2" x14ac:dyDescent="0.3">
      <c r="A1175" s="3">
        <v>46157</v>
      </c>
      <c r="B1175" s="4">
        <v>1336.4</v>
      </c>
    </row>
    <row r="1176" spans="1:2" x14ac:dyDescent="0.3">
      <c r="A1176" s="3">
        <v>46160</v>
      </c>
      <c r="B1176" s="4">
        <v>1335.9</v>
      </c>
    </row>
    <row r="1177" spans="1:2" x14ac:dyDescent="0.3">
      <c r="A1177" s="3">
        <v>46161</v>
      </c>
      <c r="B1177" s="4">
        <v>1322.7</v>
      </c>
    </row>
    <row r="1178" spans="1:2" x14ac:dyDescent="0.3">
      <c r="A1178" s="3">
        <v>46162</v>
      </c>
      <c r="B1178" s="4">
        <v>1359.7</v>
      </c>
    </row>
    <row r="1179" spans="1:2" x14ac:dyDescent="0.3">
      <c r="A1179" s="3">
        <v>46163</v>
      </c>
      <c r="B1179" s="4">
        <v>1349.6</v>
      </c>
    </row>
    <row r="1180" spans="1:2" x14ac:dyDescent="0.3">
      <c r="A1180" s="3">
        <v>46164</v>
      </c>
      <c r="B1180" s="4">
        <v>1354.5</v>
      </c>
    </row>
    <row r="1181" spans="1:2" x14ac:dyDescent="0.3">
      <c r="A1181" s="3">
        <v>46167</v>
      </c>
      <c r="B1181" s="4">
        <v>1367</v>
      </c>
    </row>
    <row r="1182" spans="1:2" x14ac:dyDescent="0.3">
      <c r="A1182" s="3">
        <v>46168</v>
      </c>
      <c r="B1182" s="4">
        <v>1356.3</v>
      </c>
    </row>
    <row r="1183" spans="1:2" x14ac:dyDescent="0.3">
      <c r="A1183" s="3">
        <v>46169</v>
      </c>
      <c r="B1183" s="4">
        <v>1350.5</v>
      </c>
    </row>
    <row r="1184" spans="1:2" x14ac:dyDescent="0.3">
      <c r="A1184" s="3">
        <v>46171</v>
      </c>
      <c r="B1184" s="4">
        <v>1321.2</v>
      </c>
    </row>
    <row r="1185" spans="1:2" x14ac:dyDescent="0.3">
      <c r="A1185" s="3">
        <v>46174</v>
      </c>
      <c r="B1185" s="4">
        <v>1320</v>
      </c>
    </row>
    <row r="1186" spans="1:2" x14ac:dyDescent="0.3">
      <c r="A1186" s="3">
        <v>46175</v>
      </c>
      <c r="B1186" s="4">
        <v>1314.6</v>
      </c>
    </row>
    <row r="1187" spans="1:2" x14ac:dyDescent="0.3">
      <c r="A1187" s="3">
        <v>46176</v>
      </c>
      <c r="B1187" s="4">
        <v>1313.2</v>
      </c>
    </row>
    <row r="1188" spans="1:2" x14ac:dyDescent="0.3">
      <c r="A1188" s="3">
        <v>46177</v>
      </c>
      <c r="B1188" s="4">
        <v>1303.7</v>
      </c>
    </row>
    <row r="1189" spans="1:2" x14ac:dyDescent="0.3">
      <c r="A1189" s="3">
        <v>46178</v>
      </c>
      <c r="B1189" s="4">
        <v>1291</v>
      </c>
    </row>
    <row r="1190" spans="1:2" x14ac:dyDescent="0.3">
      <c r="A1190" s="3">
        <v>46181</v>
      </c>
      <c r="B1190" s="4">
        <v>1263.3</v>
      </c>
    </row>
    <row r="1191" spans="1:2" x14ac:dyDescent="0.3">
      <c r="A1191" s="3">
        <v>46182</v>
      </c>
      <c r="B1191" s="4">
        <v>1269.2</v>
      </c>
    </row>
    <row r="1192" spans="1:2" x14ac:dyDescent="0.3">
      <c r="A1192" s="3">
        <v>46183</v>
      </c>
      <c r="B1192" s="4">
        <v>1258.8</v>
      </c>
    </row>
    <row r="1193" spans="1:2" x14ac:dyDescent="0.3">
      <c r="A1193" s="3">
        <v>46184</v>
      </c>
      <c r="B1193" s="4">
        <v>1263</v>
      </c>
    </row>
    <row r="1194" spans="1:2" x14ac:dyDescent="0.3">
      <c r="A1194" s="3">
        <v>46185</v>
      </c>
      <c r="B1194" s="4">
        <v>1293</v>
      </c>
    </row>
    <row r="1195" spans="1:2" x14ac:dyDescent="0.3">
      <c r="A1195" s="3">
        <v>46188</v>
      </c>
      <c r="B1195" s="4">
        <v>1307</v>
      </c>
    </row>
    <row r="1196" spans="1:2" x14ac:dyDescent="0.3">
      <c r="A1196" s="3">
        <v>46189</v>
      </c>
      <c r="B1196" s="4">
        <v>1328.8</v>
      </c>
    </row>
    <row r="1197" spans="1:2" x14ac:dyDescent="0.3">
      <c r="A1197" s="3">
        <v>46190</v>
      </c>
      <c r="B1197" s="4">
        <v>1332.7</v>
      </c>
    </row>
    <row r="1198" spans="1:2" x14ac:dyDescent="0.3">
      <c r="A1198" s="3">
        <v>46191</v>
      </c>
      <c r="B1198" s="4">
        <v>1328.1</v>
      </c>
    </row>
    <row r="1199" spans="1:2" x14ac:dyDescent="0.3">
      <c r="A1199" s="3">
        <v>46192</v>
      </c>
      <c r="B1199" s="4">
        <v>1309.5</v>
      </c>
    </row>
    <row r="1200" spans="1:2" x14ac:dyDescent="0.3">
      <c r="A1200" s="3">
        <v>46195</v>
      </c>
      <c r="B1200" s="4">
        <v>1326.5</v>
      </c>
    </row>
    <row r="1201" spans="1:2" x14ac:dyDescent="0.3">
      <c r="A1201" s="3">
        <v>46196</v>
      </c>
      <c r="B1201" s="4">
        <v>1309.5</v>
      </c>
    </row>
    <row r="1202" spans="1:2" x14ac:dyDescent="0.3">
      <c r="A1202" s="3">
        <v>46197</v>
      </c>
      <c r="B1202" s="4">
        <v>1313.6</v>
      </c>
    </row>
    <row r="1203" spans="1:2" x14ac:dyDescent="0.3">
      <c r="A1203" s="3">
        <v>46198</v>
      </c>
      <c r="B1203" s="4">
        <v>1318.1</v>
      </c>
    </row>
    <row r="1204" spans="1:2" x14ac:dyDescent="0.3">
      <c r="A1204" s="3">
        <v>46202</v>
      </c>
      <c r="B1204" s="4">
        <v>1301</v>
      </c>
    </row>
    <row r="1205" spans="1:2" x14ac:dyDescent="0.3">
      <c r="A1205" s="3">
        <v>46203</v>
      </c>
      <c r="B1205" s="4">
        <v>1293.9000000000001</v>
      </c>
    </row>
    <row r="1206" spans="1:2" x14ac:dyDescent="0.3">
      <c r="A1206" s="3">
        <v>46204</v>
      </c>
      <c r="B1206" s="4">
        <v>1308</v>
      </c>
    </row>
    <row r="1207" spans="1:2" x14ac:dyDescent="0.3">
      <c r="A1207" s="3">
        <v>46205</v>
      </c>
      <c r="B1207" s="4">
        <v>1303.5</v>
      </c>
    </row>
    <row r="1208" spans="1:2" x14ac:dyDescent="0.3">
      <c r="A1208" s="3">
        <v>46206</v>
      </c>
      <c r="B1208" s="4">
        <v>1304</v>
      </c>
    </row>
    <row r="1209" spans="1:2" x14ac:dyDescent="0.3">
      <c r="A1209" s="3">
        <v>46209</v>
      </c>
      <c r="B1209" s="4">
        <v>1321.3</v>
      </c>
    </row>
    <row r="1210" spans="1:2" x14ac:dyDescent="0.3">
      <c r="A1210" s="3">
        <v>46210</v>
      </c>
      <c r="B1210" s="4">
        <v>1308.4000000000001</v>
      </c>
    </row>
    <row r="1211" spans="1:2" x14ac:dyDescent="0.3">
      <c r="A1211" s="3">
        <v>46211</v>
      </c>
      <c r="B1211" s="4">
        <v>1275.9000000000001</v>
      </c>
    </row>
    <row r="1212" spans="1:2" x14ac:dyDescent="0.3">
      <c r="A1212" s="3">
        <v>46212</v>
      </c>
      <c r="B1212" s="4">
        <v>1279.8</v>
      </c>
    </row>
    <row r="1213" spans="1:2" x14ac:dyDescent="0.3">
      <c r="A1213" s="3">
        <v>46213</v>
      </c>
      <c r="B1213" s="4">
        <v>1307.8</v>
      </c>
    </row>
    <row r="1214" spans="1:2" x14ac:dyDescent="0.3">
      <c r="A1214" s="3">
        <v>46216</v>
      </c>
      <c r="B1214" s="4">
        <v>1296.9000000000001</v>
      </c>
    </row>
    <row r="1215" spans="1:2" x14ac:dyDescent="0.3">
      <c r="A1215" s="3">
        <v>46217</v>
      </c>
      <c r="B1215" s="4">
        <v>1293</v>
      </c>
    </row>
    <row r="1216" spans="1:2" x14ac:dyDescent="0.3">
      <c r="A1216" s="3">
        <v>46218</v>
      </c>
      <c r="B1216" s="4">
        <v>1295.5</v>
      </c>
    </row>
    <row r="1217" spans="1:2" x14ac:dyDescent="0.3">
      <c r="A1217" s="3">
        <v>46219</v>
      </c>
      <c r="B1217" s="4">
        <v>1296.5999999999999</v>
      </c>
    </row>
    <row r="1218" spans="1:2" x14ac:dyDescent="0.3">
      <c r="A1218" s="3">
        <v>46220</v>
      </c>
      <c r="B1218" s="4">
        <v>1327.2</v>
      </c>
    </row>
    <row r="1219" spans="1:2" x14ac:dyDescent="0.3">
      <c r="A1219" s="3">
        <v>46223</v>
      </c>
      <c r="B1219" s="4">
        <v>1323.1</v>
      </c>
    </row>
    <row r="1220" spans="1:2" x14ac:dyDescent="0.3">
      <c r="A1220" s="3">
        <v>46224</v>
      </c>
      <c r="B1220" s="4">
        <v>1303.7</v>
      </c>
    </row>
    <row r="1221" spans="1:2" x14ac:dyDescent="0.3">
      <c r="A1221" s="3">
        <v>46225</v>
      </c>
      <c r="B1221" s="4">
        <v>1288.5999999999999</v>
      </c>
    </row>
    <row r="1222" spans="1:2" x14ac:dyDescent="0.3">
      <c r="A1222" s="3">
        <v>46226</v>
      </c>
      <c r="B1222" s="4">
        <v>1272.2</v>
      </c>
    </row>
    <row r="1223" spans="1:2" x14ac:dyDescent="0.3">
      <c r="A1223" s="3">
        <v>46227</v>
      </c>
      <c r="B1223" s="4">
        <v>1278</v>
      </c>
    </row>
    <row r="1224" spans="1:2" x14ac:dyDescent="0.3">
      <c r="A1224" s="3">
        <v>46230</v>
      </c>
      <c r="B1224" s="4">
        <v>1280</v>
      </c>
    </row>
    <row r="1225" spans="1:2" x14ac:dyDescent="0.3">
      <c r="A1225" s="3">
        <v>46231</v>
      </c>
      <c r="B1225" s="4">
        <v>1267.7</v>
      </c>
    </row>
    <row r="1226" spans="1:2" x14ac:dyDescent="0.3">
      <c r="A1226" s="3">
        <v>46232</v>
      </c>
      <c r="B1226" s="4">
        <v>1275.9000000000001</v>
      </c>
    </row>
    <row r="1227" spans="1:2" x14ac:dyDescent="0.3">
      <c r="A1227" s="3">
        <v>46233</v>
      </c>
      <c r="B1227" s="4">
        <v>1292.9000000000001</v>
      </c>
    </row>
    <row r="1228" spans="1:2" x14ac:dyDescent="0.3">
      <c r="A1228" s="3">
        <v>46234</v>
      </c>
      <c r="B1228" s="4">
        <v>1307.8</v>
      </c>
    </row>
    <row r="1229" spans="1:2" x14ac:dyDescent="0.3">
      <c r="A1229" s="3">
        <v>46237</v>
      </c>
      <c r="B1229" s="4">
        <v>1319</v>
      </c>
    </row>
    <row r="1230" spans="1:2" x14ac:dyDescent="0.3">
      <c r="A1230" s="3">
        <v>46238</v>
      </c>
      <c r="B1230" s="4">
        <v>1290.9000000000001</v>
      </c>
    </row>
    <row r="1231" spans="1:2" x14ac:dyDescent="0.3">
      <c r="A1231" s="3">
        <v>46239</v>
      </c>
      <c r="B1231" s="4">
        <v>1280</v>
      </c>
    </row>
    <row r="1232" spans="1:2" x14ac:dyDescent="0.3">
      <c r="A1232" s="3">
        <v>46240</v>
      </c>
      <c r="B1232" s="4">
        <v>1325</v>
      </c>
    </row>
    <row r="1233" spans="1:2" x14ac:dyDescent="0.3">
      <c r="A1233" s="3">
        <v>46241</v>
      </c>
      <c r="B1233" s="4">
        <v>1334.8</v>
      </c>
    </row>
    <row r="1234" spans="1:2" x14ac:dyDescent="0.3">
      <c r="A1234" s="3">
        <v>46244</v>
      </c>
      <c r="B1234" s="4">
        <v>1327.3</v>
      </c>
    </row>
    <row r="1235" spans="1:2" x14ac:dyDescent="0.3">
      <c r="A1235" s="3">
        <v>46245</v>
      </c>
      <c r="B1235" s="4">
        <v>1323.9</v>
      </c>
    </row>
    <row r="1236" spans="1:2" x14ac:dyDescent="0.3">
      <c r="A1236" s="3">
        <v>46246</v>
      </c>
      <c r="B1236" s="4">
        <v>1329</v>
      </c>
    </row>
    <row r="1237" spans="1:2" x14ac:dyDescent="0.3">
      <c r="A1237" s="3">
        <v>46247</v>
      </c>
      <c r="B1237" s="4">
        <v>1317</v>
      </c>
    </row>
    <row r="1238" spans="1:2" x14ac:dyDescent="0.3">
      <c r="A1238" s="3">
        <v>46248</v>
      </c>
      <c r="B1238" s="4">
        <v>1310</v>
      </c>
    </row>
    <row r="1239" spans="1:2" x14ac:dyDescent="0.3">
      <c r="A1239" s="3">
        <v>46251</v>
      </c>
      <c r="B1239" s="4">
        <v>1316</v>
      </c>
    </row>
    <row r="1240" spans="1:2" x14ac:dyDescent="0.3">
      <c r="A1240" s="3">
        <v>46252</v>
      </c>
      <c r="B1240" s="4">
        <v>1322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NIFTY - Simple Naive Forecastin</vt:lpstr>
      <vt:lpstr>NIFTY-Scientific, OPTION PRICIN</vt:lpstr>
      <vt:lpstr>RIL</vt:lpstr>
      <vt:lpstr>'NIFTY-Scientific, OPTION PRICIN'!CLS</vt:lpstr>
      <vt:lpstr>RIL!CLS</vt:lpstr>
      <vt:lpstr>CLS</vt:lpstr>
      <vt:lpstr>'NIFTY-Scientific, OPTION PRICIN'!DAT</vt:lpstr>
      <vt:lpstr>RIL!DAT</vt:lpstr>
      <vt:lpstr>DAT</vt:lpstr>
      <vt:lpstr>'NIFTY-Scientific, OPTION PRICIN'!phTableData</vt:lpstr>
      <vt:lpstr>RIL!phTableData</vt:lpstr>
      <vt:lpstr>phTableData</vt:lpstr>
      <vt:lpstr>'NIFTY-Scientific, OPTION PRICIN'!phTableHeader</vt:lpstr>
      <vt:lpstr>RIL!phTableHeader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Aaryesh Kumar (PGDM 25-27)</cp:lastModifiedBy>
  <dcterms:created xsi:type="dcterms:W3CDTF">2026-08-19T08:11:19Z</dcterms:created>
  <dcterms:modified xsi:type="dcterms:W3CDTF">2026-09-30T03:38:25Z</dcterms:modified>
</cp:coreProperties>
</file>